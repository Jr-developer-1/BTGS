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xpense Statement" sheetId="1" state="visible" r:id="rId1"/>
  </sheets>
  <definedNames>
    <definedName name="_xlnm.Print_Area" localSheetId="0">'Expense Statement'!$A$1:$P$41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[$-409]d\-mmm\-yy;@"/>
    <numFmt numFmtId="167" formatCode="[$-409]h:mm\ AM/PM;@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0"/>
      <sz val="11"/>
      <scheme val="minor"/>
    </font>
    <font>
      <name val="Times New Roman"/>
      <family val="1"/>
      <sz val="11"/>
    </font>
    <font>
      <name val="Aptos Narrow"/>
      <family val="2"/>
      <sz val="11"/>
      <scheme val="minor"/>
    </font>
    <font>
      <name val="Aptos Narrow"/>
      <family val="2"/>
      <b val="1"/>
      <color theme="1"/>
      <sz val="16"/>
      <scheme val="minor"/>
    </font>
    <font>
      <name val="Times New Roman"/>
      <family val="1"/>
      <b val="1"/>
      <sz val="11"/>
    </font>
    <font>
      <name val="Arial"/>
      <family val="2"/>
      <b val="1"/>
      <sz val="11"/>
    </font>
    <font>
      <b val="1"/>
      <color rgb="001E3A5F"/>
      <sz val="13"/>
    </font>
    <font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43" fontId="1" fillId="0" borderId="0"/>
    <xf numFmtId="167" fontId="3" fillId="0" borderId="0"/>
    <xf numFmtId="0" fontId="3" fillId="0" borderId="0"/>
  </cellStyleXfs>
  <cellXfs count="35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6" applyAlignment="1" pivotButton="0" quotePrefix="0" xfId="0">
      <alignment horizontal="center"/>
    </xf>
    <xf numFmtId="0" fontId="2" fillId="0" borderId="30" applyAlignment="1" pivotButton="0" quotePrefix="0" xfId="0">
      <alignment horizontal="center" vertical="center"/>
    </xf>
    <xf numFmtId="9" fontId="2" fillId="0" borderId="3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8" fillId="0" borderId="25" pivotButton="0" quotePrefix="0" xfId="0"/>
    <xf numFmtId="0" fontId="2" fillId="0" borderId="58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17" fontId="9" fillId="2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/>
    </xf>
    <xf numFmtId="0" fontId="9" fillId="2" borderId="1" applyAlignment="1" pivotButton="0" quotePrefix="0" xfId="0">
      <alignment horizontal="right" vertical="center"/>
    </xf>
    <xf numFmtId="0" fontId="9" fillId="2" borderId="2" applyAlignment="1" pivotButton="0" quotePrefix="0" xfId="0">
      <alignment horizontal="right" vertical="center"/>
    </xf>
    <xf numFmtId="165" fontId="0" fillId="5" borderId="25" pivotButton="0" quotePrefix="0" xfId="1"/>
    <xf numFmtId="165" fontId="10" fillId="0" borderId="31" pivotButton="0" quotePrefix="0" xfId="1"/>
    <xf numFmtId="0" fontId="0" fillId="0" borderId="59" pivotButton="0" quotePrefix="0" xfId="0"/>
    <xf numFmtId="166" fontId="7" fillId="0" borderId="12" applyAlignment="1" applyProtection="1" pivotButton="0" quotePrefix="0" xfId="1">
      <alignment horizontal="center"/>
      <protection locked="0" hidden="0"/>
    </xf>
    <xf numFmtId="167" fontId="7" fillId="0" borderId="6" applyAlignment="1" applyProtection="1" pivotButton="0" quotePrefix="0" xfId="1">
      <alignment horizontal="center"/>
      <protection locked="0" hidden="0"/>
    </xf>
    <xf numFmtId="43" fontId="7" fillId="0" borderId="6" applyAlignment="1" applyProtection="1" pivotButton="0" quotePrefix="0" xfId="1">
      <alignment horizontal="center"/>
      <protection locked="0" hidden="0"/>
    </xf>
    <xf numFmtId="166" fontId="7" fillId="0" borderId="6" applyAlignment="1" applyProtection="1" pivotButton="0" quotePrefix="0" xfId="1">
      <alignment horizontal="center"/>
      <protection locked="0" hidden="0"/>
    </xf>
    <xf numFmtId="18" fontId="7" fillId="0" borderId="6" applyProtection="1" pivotButton="0" quotePrefix="0" xfId="1">
      <protection locked="0" hidden="0"/>
    </xf>
    <xf numFmtId="43" fontId="7" fillId="0" borderId="5" applyAlignment="1" applyProtection="1" pivotButton="0" quotePrefix="0" xfId="1">
      <alignment horizontal="left" vertical="center"/>
      <protection locked="0" hidden="0"/>
    </xf>
    <xf numFmtId="0" fontId="7" fillId="0" borderId="6" applyProtection="1" pivotButton="0" quotePrefix="0" xfId="0">
      <protection locked="0" hidden="0"/>
    </xf>
    <xf numFmtId="43" fontId="7" fillId="0" borderId="6" applyProtection="1" pivotButton="0" quotePrefix="0" xfId="1">
      <protection locked="0" hidden="0"/>
    </xf>
    <xf numFmtId="43" fontId="7" fillId="0" borderId="25" pivotButton="0" quotePrefix="0" xfId="1"/>
    <xf numFmtId="165" fontId="7" fillId="0" borderId="23" applyAlignment="1" applyProtection="1" pivotButton="0" quotePrefix="0" xfId="1">
      <alignment horizontal="center"/>
      <protection locked="0" hidden="0"/>
    </xf>
    <xf numFmtId="165" fontId="7" fillId="0" borderId="6" applyProtection="1" pivotButton="0" quotePrefix="0" xfId="1">
      <protection locked="0" hidden="0"/>
    </xf>
    <xf numFmtId="0" fontId="0" fillId="0" borderId="6" pivotButton="0" quotePrefix="0" xfId="0"/>
    <xf numFmtId="0" fontId="0" fillId="0" borderId="25" pivotButton="0" quotePrefix="0" xfId="0"/>
    <xf numFmtId="0" fontId="0" fillId="0" borderId="0" pivotButton="0" quotePrefix="0" xfId="0"/>
    <xf numFmtId="0" fontId="0" fillId="0" borderId="60" pivotButton="0" quotePrefix="0" xfId="0"/>
    <xf numFmtId="166" fontId="7" fillId="0" borderId="10" applyAlignment="1" applyProtection="1" pivotButton="0" quotePrefix="0" xfId="1">
      <alignment horizontal="center"/>
      <protection locked="0" hidden="0"/>
    </xf>
    <xf numFmtId="167" fontId="7" fillId="0" borderId="5" applyAlignment="1" applyProtection="1" pivotButton="0" quotePrefix="0" xfId="1">
      <alignment horizontal="center"/>
      <protection locked="0" hidden="0"/>
    </xf>
    <xf numFmtId="43" fontId="7" fillId="0" borderId="5" applyAlignment="1" applyProtection="1" pivotButton="0" quotePrefix="0" xfId="1">
      <alignment horizontal="center"/>
      <protection locked="0" hidden="0"/>
    </xf>
    <xf numFmtId="166" fontId="7" fillId="0" borderId="5" applyAlignment="1" applyProtection="1" pivotButton="0" quotePrefix="0" xfId="1">
      <alignment horizontal="center"/>
      <protection locked="0" hidden="0"/>
    </xf>
    <xf numFmtId="18" fontId="7" fillId="0" borderId="5" applyProtection="1" pivotButton="0" quotePrefix="0" xfId="1">
      <protection locked="0" hidden="0"/>
    </xf>
    <xf numFmtId="0" fontId="7" fillId="0" borderId="5" applyProtection="1" pivotButton="0" quotePrefix="0" xfId="0">
      <protection locked="0" hidden="0"/>
    </xf>
    <xf numFmtId="43" fontId="7" fillId="0" borderId="48" pivotButton="0" quotePrefix="0" xfId="1"/>
    <xf numFmtId="165" fontId="7" fillId="0" borderId="7" applyAlignment="1" applyProtection="1" pivotButton="0" quotePrefix="0" xfId="1">
      <alignment horizontal="center"/>
      <protection locked="0" hidden="0"/>
    </xf>
    <xf numFmtId="165" fontId="7" fillId="0" borderId="5" applyProtection="1" pivotButton="0" quotePrefix="0" xfId="1">
      <protection locked="0" hidden="0"/>
    </xf>
    <xf numFmtId="0" fontId="0" fillId="0" borderId="5" pivotButton="0" quotePrefix="0" xfId="0"/>
    <xf numFmtId="0" fontId="7" fillId="0" borderId="10" applyProtection="1" pivotButton="0" quotePrefix="0" xfId="0">
      <protection locked="0" hidden="0"/>
    </xf>
    <xf numFmtId="16" fontId="7" fillId="0" borderId="10" applyProtection="1" pivotButton="0" quotePrefix="0" xfId="0">
      <protection locked="0" hidden="0"/>
    </xf>
    <xf numFmtId="167" fontId="7" fillId="0" borderId="5" applyProtection="1" pivotButton="0" quotePrefix="1" xfId="1">
      <protection locked="0" hidden="0"/>
    </xf>
    <xf numFmtId="1" fontId="7" fillId="0" borderId="5" applyProtection="1" pivotButton="0" quotePrefix="0" xfId="1">
      <protection locked="0" hidden="0"/>
    </xf>
    <xf numFmtId="43" fontId="7" fillId="0" borderId="5" applyProtection="1" pivotButton="0" quotePrefix="0" xfId="1">
      <protection locked="0" hidden="0"/>
    </xf>
    <xf numFmtId="166" fontId="7" fillId="0" borderId="5" applyProtection="1" pivotButton="0" quotePrefix="0" xfId="1">
      <protection locked="0" hidden="0"/>
    </xf>
    <xf numFmtId="43" fontId="7" fillId="0" borderId="5" applyProtection="1" pivotButton="0" quotePrefix="0" xfId="1">
      <protection locked="0" hidden="0"/>
    </xf>
    <xf numFmtId="166" fontId="7" fillId="0" borderId="10" applyProtection="1" pivotButton="0" quotePrefix="0" xfId="1">
      <protection locked="0" hidden="0"/>
    </xf>
    <xf numFmtId="166" fontId="7" fillId="0" borderId="37" applyProtection="1" pivotButton="0" quotePrefix="0" xfId="1">
      <protection locked="0" hidden="0"/>
    </xf>
    <xf numFmtId="167" fontId="7" fillId="0" borderId="30" applyProtection="1" pivotButton="0" quotePrefix="0" xfId="1">
      <protection locked="0" hidden="0"/>
    </xf>
    <xf numFmtId="43" fontId="7" fillId="0" borderId="30" applyProtection="1" pivotButton="0" quotePrefix="0" xfId="1">
      <protection locked="0" hidden="0"/>
    </xf>
    <xf numFmtId="166" fontId="7" fillId="0" borderId="30" applyProtection="1" pivotButton="0" quotePrefix="0" xfId="1">
      <protection locked="0" hidden="0"/>
    </xf>
    <xf numFmtId="43" fontId="7" fillId="0" borderId="37" applyAlignment="1" applyProtection="1" pivotButton="0" quotePrefix="0" xfId="1">
      <alignment horizontal="left" vertical="center"/>
      <protection locked="0" hidden="0"/>
    </xf>
    <xf numFmtId="0" fontId="7" fillId="0" borderId="30" applyProtection="1" pivotButton="0" quotePrefix="0" xfId="0">
      <protection locked="0" hidden="0"/>
    </xf>
    <xf numFmtId="43" fontId="7" fillId="0" borderId="50" applyProtection="1" pivotButton="0" quotePrefix="0" xfId="1">
      <protection locked="0" hidden="0"/>
    </xf>
    <xf numFmtId="43" fontId="7" fillId="0" borderId="31" pivotButton="0" quotePrefix="0" xfId="1"/>
    <xf numFmtId="165" fontId="7" fillId="0" borderId="36" applyAlignment="1" applyProtection="1" pivotButton="0" quotePrefix="0" xfId="1">
      <alignment horizontal="center"/>
      <protection locked="0" hidden="0"/>
    </xf>
    <xf numFmtId="165" fontId="7" fillId="0" borderId="30" applyProtection="1" pivotButton="0" quotePrefix="0" xfId="1">
      <protection locked="0" hidden="0"/>
    </xf>
    <xf numFmtId="165" fontId="7" fillId="0" borderId="45" applyProtection="1" pivotButton="0" quotePrefix="0" xfId="1">
      <protection locked="0" hidden="0"/>
    </xf>
    <xf numFmtId="0" fontId="0" fillId="0" borderId="30" pivotButton="0" quotePrefix="0" xfId="0"/>
    <xf numFmtId="0" fontId="0" fillId="0" borderId="61" pivotButton="0" quotePrefix="0" xfId="0"/>
    <xf numFmtId="43" fontId="10" fillId="0" borderId="46" applyAlignment="1" applyProtection="1" pivotButton="0" quotePrefix="0" xfId="1">
      <alignment horizontal="center"/>
      <protection locked="0" hidden="0"/>
    </xf>
    <xf numFmtId="43" fontId="10" fillId="0" borderId="47" applyAlignment="1" applyProtection="1" pivotButton="0" quotePrefix="0" xfId="1">
      <alignment horizontal="center"/>
      <protection locked="0" hidden="0"/>
    </xf>
    <xf numFmtId="43" fontId="10" fillId="3" borderId="14" applyAlignment="1" applyProtection="1" pivotButton="0" quotePrefix="0" xfId="1">
      <alignment horizontal="center"/>
      <protection locked="0" hidden="0"/>
    </xf>
    <xf numFmtId="43" fontId="10" fillId="3" borderId="46" applyAlignment="1" applyProtection="1" pivotButton="0" quotePrefix="0" xfId="1">
      <alignment horizontal="center"/>
      <protection locked="0" hidden="0"/>
    </xf>
    <xf numFmtId="43" fontId="10" fillId="3" borderId="40" applyAlignment="1" applyProtection="1" pivotButton="0" quotePrefix="0" xfId="1">
      <alignment horizontal="center"/>
      <protection locked="0" hidden="0"/>
    </xf>
    <xf numFmtId="43" fontId="10" fillId="0" borderId="57" applyAlignment="1" pivotButton="0" quotePrefix="0" xfId="1">
      <alignment horizontal="center"/>
    </xf>
    <xf numFmtId="165" fontId="10" fillId="0" borderId="32" applyAlignment="1" pivotButton="0" quotePrefix="0" xfId="1">
      <alignment horizontal="center"/>
    </xf>
    <xf numFmtId="165" fontId="10" fillId="0" borderId="50" applyAlignment="1" pivotButton="0" quotePrefix="0" xfId="1">
      <alignment horizontal="center"/>
    </xf>
    <xf numFmtId="165" fontId="10" fillId="0" borderId="44" applyAlignment="1" pivotButton="0" quotePrefix="0" xfId="1">
      <alignment horizontal="center"/>
    </xf>
    <xf numFmtId="0" fontId="0" fillId="0" borderId="41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8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5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0" fillId="3" borderId="1" applyAlignment="1" applyProtection="1" pivotButton="0" quotePrefix="0" xfId="0">
      <alignment horizontal="center"/>
      <protection locked="0" hidden="0"/>
    </xf>
    <xf numFmtId="0" fontId="10" fillId="3" borderId="2" applyAlignment="1" applyProtection="1" pivotButton="0" quotePrefix="0" xfId="0">
      <alignment horizontal="center"/>
      <protection locked="0" hidden="0"/>
    </xf>
    <xf numFmtId="0" fontId="10" fillId="3" borderId="19" applyAlignment="1" applyProtection="1" pivotButton="0" quotePrefix="0" xfId="0">
      <alignment horizontal="center"/>
      <protection locked="0" hidden="0"/>
    </xf>
    <xf numFmtId="0" fontId="10" fillId="3" borderId="1" applyAlignment="1" applyProtection="1" pivotButton="0" quotePrefix="0" xfId="0">
      <alignment horizontal="center" wrapText="1"/>
      <protection locked="0" hidden="0"/>
    </xf>
    <xf numFmtId="0" fontId="10" fillId="3" borderId="2" applyAlignment="1" applyProtection="1" pivotButton="0" quotePrefix="0" xfId="0">
      <alignment horizontal="center" wrapText="1"/>
      <protection locked="0" hidden="0"/>
    </xf>
    <xf numFmtId="0" fontId="10" fillId="3" borderId="19" applyAlignment="1" applyProtection="1" pivotButton="0" quotePrefix="0" xfId="0">
      <alignment horizontal="center" wrapText="1"/>
      <protection locked="0" hidden="0"/>
    </xf>
    <xf numFmtId="0" fontId="10" fillId="0" borderId="12" applyAlignment="1" applyProtection="1" pivotButton="0" quotePrefix="0" xfId="0">
      <alignment horizontal="center"/>
      <protection locked="0" hidden="0"/>
    </xf>
    <xf numFmtId="0" fontId="10" fillId="0" borderId="6" applyAlignment="1" applyProtection="1" pivotButton="0" quotePrefix="0" xfId="0">
      <alignment horizontal="center"/>
      <protection locked="0" hidden="0"/>
    </xf>
    <xf numFmtId="0" fontId="10" fillId="0" borderId="6" applyAlignment="1" applyProtection="1" pivotButton="0" quotePrefix="0" xfId="0">
      <alignment horizontal="center" wrapText="1"/>
      <protection locked="0" hidden="0"/>
    </xf>
    <xf numFmtId="0" fontId="10" fillId="0" borderId="2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10" fillId="0" borderId="37" applyAlignment="1" applyProtection="1" pivotButton="0" quotePrefix="0" xfId="0">
      <alignment horizontal="center"/>
      <protection locked="0" hidden="0"/>
    </xf>
    <xf numFmtId="0" fontId="10" fillId="0" borderId="30" applyAlignment="1" applyProtection="1" pivotButton="0" quotePrefix="0" xfId="0">
      <alignment horizontal="center"/>
      <protection locked="0" hidden="0"/>
    </xf>
    <xf numFmtId="0" fontId="10" fillId="0" borderId="30" applyAlignment="1" applyProtection="1" pivotButton="0" quotePrefix="0" xfId="0">
      <alignment horizontal="center" wrapText="1"/>
      <protection locked="0" hidden="0"/>
    </xf>
    <xf numFmtId="0" fontId="11" fillId="0" borderId="30" applyAlignment="1" applyProtection="1" pivotButton="0" quotePrefix="0" xfId="0">
      <alignment horizontal="center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43" fontId="10" fillId="3" borderId="2" applyAlignment="1" applyProtection="1" pivotButton="0" quotePrefix="0" xfId="1">
      <alignment horizontal="center"/>
      <protection locked="0" hidden="0"/>
    </xf>
    <xf numFmtId="43" fontId="10" fillId="3" borderId="19" applyAlignment="1" applyProtection="1" pivotButton="0" quotePrefix="0" xfId="1">
      <alignment horizontal="center"/>
      <protection locked="0" hidden="0"/>
    </xf>
    <xf numFmtId="43" fontId="10" fillId="3" borderId="1" applyAlignment="1" applyProtection="1" pivotButton="0" quotePrefix="0" xfId="1">
      <alignment horizontal="center" vertical="center"/>
      <protection locked="0" hidden="0"/>
    </xf>
    <xf numFmtId="43" fontId="10" fillId="3" borderId="2" applyAlignment="1" applyProtection="1" pivotButton="0" quotePrefix="0" xfId="1">
      <alignment horizontal="center" vertical="center"/>
      <protection locked="0" hidden="0"/>
    </xf>
    <xf numFmtId="43" fontId="10" fillId="3" borderId="19" applyAlignment="1" applyProtection="1" pivotButton="0" quotePrefix="0" xfId="1">
      <alignment horizontal="center" vertical="center"/>
      <protection locked="0" hidden="0"/>
    </xf>
    <xf numFmtId="43" fontId="10" fillId="3" borderId="1" applyAlignment="1" applyProtection="1" pivotButton="0" quotePrefix="0" xfId="1">
      <alignment vertical="center"/>
      <protection locked="0" hidden="0"/>
    </xf>
    <xf numFmtId="43" fontId="10" fillId="3" borderId="27" applyAlignment="1" applyProtection="1" pivotButton="0" quotePrefix="0" xfId="1">
      <alignment vertical="center"/>
      <protection locked="0" hidden="0"/>
    </xf>
    <xf numFmtId="43" fontId="10" fillId="3" borderId="18" applyAlignment="1" applyProtection="1" pivotButton="0" quotePrefix="0" xfId="1">
      <alignment horizontal="center" vertical="center"/>
      <protection locked="0" hidden="0"/>
    </xf>
    <xf numFmtId="43" fontId="10" fillId="3" borderId="22" applyAlignment="1" applyProtection="1" pivotButton="0" quotePrefix="0" xfId="1">
      <alignment horizontal="center" vertical="center"/>
      <protection locked="0" hidden="0"/>
    </xf>
    <xf numFmtId="43" fontId="10" fillId="0" borderId="27" applyAlignment="1" applyProtection="1" pivotButton="0" quotePrefix="0" xfId="1">
      <alignment horizontal="center" vertical="center"/>
      <protection locked="0" hidden="0"/>
    </xf>
    <xf numFmtId="0" fontId="10" fillId="0" borderId="18" applyAlignment="1" applyProtection="1" pivotButton="0" quotePrefix="0" xfId="0">
      <alignment horizontal="center"/>
      <protection locked="0" hidden="0"/>
    </xf>
    <xf numFmtId="0" fontId="10" fillId="0" borderId="27" applyAlignment="1" applyProtection="1" pivotButton="0" quotePrefix="0" xfId="0">
      <alignment horizontal="center"/>
      <protection locked="0" hidden="0"/>
    </xf>
    <xf numFmtId="43" fontId="10" fillId="0" borderId="18" applyAlignment="1" applyProtection="1" pivotButton="0" quotePrefix="0" xfId="1">
      <alignment horizontal="center" vertical="center"/>
      <protection locked="0" hidden="0"/>
    </xf>
    <xf numFmtId="43" fontId="10" fillId="0" borderId="27" applyAlignment="1" applyProtection="1" pivotButton="0" quotePrefix="0" xfId="1">
      <alignment horizontal="center" vertical="center"/>
      <protection locked="0" hidden="0"/>
    </xf>
    <xf numFmtId="43" fontId="10" fillId="0" borderId="21" applyAlignment="1" applyProtection="1" pivotButton="0" quotePrefix="0" xfId="1">
      <alignment horizontal="center" vertical="center"/>
      <protection locked="0" hidden="0"/>
    </xf>
    <xf numFmtId="0" fontId="10" fillId="0" borderId="2" applyAlignment="1" applyProtection="1" pivotButton="0" quotePrefix="0" xfId="0">
      <alignment horizontal="center"/>
      <protection locked="0" hidden="0"/>
    </xf>
    <xf numFmtId="0" fontId="10" fillId="0" borderId="20" applyAlignment="1" applyProtection="1" pivotButton="0" quotePrefix="0" xfId="0">
      <alignment horizontal="center"/>
      <protection locked="0" hidden="0"/>
    </xf>
    <xf numFmtId="0" fontId="10" fillId="0" borderId="21" applyAlignment="1" applyProtection="1" pivotButton="0" quotePrefix="0" xfId="0">
      <alignment horizontal="center"/>
      <protection locked="0" hidden="0"/>
    </xf>
    <xf numFmtId="0" fontId="10" fillId="0" borderId="22" applyAlignment="1" applyProtection="1" pivotButton="0" quotePrefix="0" xfId="0">
      <alignment horizontal="center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3" fontId="7" fillId="0" borderId="43" applyAlignment="1" pivotButton="0" quotePrefix="0" xfId="1">
      <alignment horizontal="center"/>
    </xf>
    <xf numFmtId="43" fontId="0" fillId="0" borderId="48" pivotButton="0" quotePrefix="0" xfId="0"/>
    <xf numFmtId="0" fontId="7" fillId="0" borderId="11" applyAlignment="1" applyProtection="1" pivotButton="0" quotePrefix="0" xfId="0">
      <alignment horizontal="center"/>
      <protection locked="0" hidden="0"/>
    </xf>
    <xf numFmtId="0" fontId="7" fillId="0" borderId="12" applyAlignment="1" applyProtection="1" pivotButton="0" quotePrefix="0" xfId="0">
      <alignment horizontal="center"/>
      <protection locked="0" hidden="0"/>
    </xf>
    <xf numFmtId="43" fontId="7" fillId="0" borderId="11" applyAlignment="1" applyProtection="1" pivotButton="0" quotePrefix="0" xfId="1">
      <alignment horizontal="center"/>
      <protection locked="0" hidden="0"/>
    </xf>
    <xf numFmtId="43" fontId="7" fillId="0" borderId="12" applyAlignment="1" applyProtection="1" pivotButton="0" quotePrefix="0" xfId="1">
      <alignment horizontal="center"/>
      <protection locked="0" hidden="0"/>
    </xf>
    <xf numFmtId="165" fontId="7" fillId="0" borderId="13" applyProtection="1" pivotButton="0" quotePrefix="0" xfId="1">
      <protection locked="0" hidden="0"/>
    </xf>
    <xf numFmtId="0" fontId="7" fillId="0" borderId="23" applyAlignment="1" applyProtection="1" pivotButton="0" quotePrefix="0" xfId="0">
      <alignment horizontal="center"/>
      <protection locked="0" hidden="0"/>
    </xf>
    <xf numFmtId="0" fontId="7" fillId="0" borderId="6" applyAlignment="1" applyProtection="1" pivotButton="0" quotePrefix="0" xfId="0">
      <alignment horizontal="center"/>
      <protection locked="0" hidden="0"/>
    </xf>
    <xf numFmtId="165" fontId="7" fillId="0" borderId="25" applyProtection="1" pivotButton="0" quotePrefix="0" xfId="1">
      <protection locked="0" hidden="0"/>
    </xf>
    <xf numFmtId="0" fontId="7" fillId="0" borderId="28" applyAlignment="1" applyProtection="1" pivotButton="0" quotePrefix="0" xfId="0">
      <alignment horizontal="left" vertical="center" wrapText="1"/>
      <protection locked="0" hidden="0"/>
    </xf>
    <xf numFmtId="0" fontId="7" fillId="0" borderId="10" applyAlignment="1" applyProtection="1" pivotButton="0" quotePrefix="0" xfId="0">
      <alignment horizontal="left" vertical="center" wrapText="1"/>
      <protection locked="0" hidden="0"/>
    </xf>
    <xf numFmtId="43" fontId="7" fillId="0" borderId="8" applyAlignment="1" pivotButton="0" quotePrefix="0" xfId="1">
      <alignment horizontal="center"/>
    </xf>
    <xf numFmtId="165" fontId="0" fillId="0" borderId="48" pivotButton="0" quotePrefix="0" xfId="0"/>
    <xf numFmtId="0" fontId="7" fillId="0" borderId="8" applyAlignment="1" applyProtection="1" pivotButton="0" quotePrefix="0" xfId="0">
      <alignment horizontal="center"/>
      <protection locked="0" hidden="0"/>
    </xf>
    <xf numFmtId="0" fontId="7" fillId="0" borderId="10" applyAlignment="1" applyProtection="1" pivotButton="0" quotePrefix="0" xfId="0">
      <alignment horizontal="center"/>
      <protection locked="0" hidden="0"/>
    </xf>
    <xf numFmtId="43" fontId="7" fillId="0" borderId="8" applyAlignment="1" applyProtection="1" pivotButton="0" quotePrefix="0" xfId="1">
      <alignment horizontal="center"/>
      <protection locked="0" hidden="0"/>
    </xf>
    <xf numFmtId="43" fontId="7" fillId="0" borderId="10" applyAlignment="1" applyProtection="1" pivotButton="0" quotePrefix="0" xfId="1">
      <alignment horizontal="center"/>
      <protection locked="0" hidden="0"/>
    </xf>
    <xf numFmtId="165" fontId="7" fillId="0" borderId="9" applyProtection="1" pivotButton="0" quotePrefix="0" xfId="1">
      <protection locked="0" hidden="0"/>
    </xf>
    <xf numFmtId="0" fontId="7" fillId="0" borderId="7" applyAlignment="1" applyProtection="1" pivotButton="0" quotePrefix="0" xfId="0">
      <alignment horizontal="center"/>
      <protection locked="0" hidden="0"/>
    </xf>
    <xf numFmtId="0" fontId="7" fillId="0" borderId="5" applyAlignment="1" applyProtection="1" pivotButton="0" quotePrefix="0" xfId="0">
      <alignment horizontal="center"/>
      <protection locked="0" hidden="0"/>
    </xf>
    <xf numFmtId="165" fontId="7" fillId="0" borderId="48" applyProtection="1" pivotButton="0" quotePrefix="0" xfId="1">
      <protection locked="0" hidden="0"/>
    </xf>
    <xf numFmtId="0" fontId="7" fillId="0" borderId="28" applyAlignment="1" applyProtection="1" pivotButton="0" quotePrefix="0" xfId="0">
      <alignment horizontal="center"/>
      <protection locked="0" hidden="0"/>
    </xf>
    <xf numFmtId="0" fontId="7" fillId="2" borderId="7" applyAlignment="1" applyProtection="1" pivotButton="0" quotePrefix="0" xfId="0">
      <alignment horizontal="left" vertical="center" wrapText="1"/>
      <protection locked="0" hidden="0"/>
    </xf>
    <xf numFmtId="0" fontId="7" fillId="2" borderId="5" applyAlignment="1" applyProtection="1" pivotButton="0" quotePrefix="0" xfId="0">
      <alignment horizontal="left" vertical="center" wrapText="1"/>
      <protection locked="0" hidden="0"/>
    </xf>
    <xf numFmtId="43" fontId="7" fillId="0" borderId="42" applyAlignment="1" pivotButton="0" quotePrefix="0" xfId="1">
      <alignment horizontal="center"/>
    </xf>
    <xf numFmtId="0" fontId="0" fillId="2" borderId="60" pivotButton="0" quotePrefix="0" xfId="0"/>
    <xf numFmtId="166" fontId="7" fillId="2" borderId="10" applyAlignment="1" applyProtection="1" pivotButton="0" quotePrefix="0" xfId="1">
      <alignment horizontal="center"/>
      <protection locked="0" hidden="0"/>
    </xf>
    <xf numFmtId="0" fontId="7" fillId="2" borderId="8" applyAlignment="1" applyProtection="1" pivotButton="0" quotePrefix="0" xfId="0">
      <alignment horizontal="center"/>
      <protection locked="0" hidden="0"/>
    </xf>
    <xf numFmtId="0" fontId="7" fillId="2" borderId="10" applyAlignment="1" applyProtection="1" pivotButton="0" quotePrefix="0" xfId="0">
      <alignment horizontal="center"/>
      <protection locked="0" hidden="0"/>
    </xf>
    <xf numFmtId="43" fontId="7" fillId="2" borderId="8" applyAlignment="1" applyProtection="1" pivotButton="0" quotePrefix="0" xfId="1">
      <alignment horizontal="center"/>
      <protection locked="0" hidden="0"/>
    </xf>
    <xf numFmtId="43" fontId="7" fillId="2" borderId="10" applyAlignment="1" applyProtection="1" pivotButton="0" quotePrefix="0" xfId="1">
      <alignment horizontal="center"/>
      <protection locked="0" hidden="0"/>
    </xf>
    <xf numFmtId="43" fontId="7" fillId="2" borderId="5" applyProtection="1" pivotButton="0" quotePrefix="0" xfId="1">
      <protection locked="0" hidden="0"/>
    </xf>
    <xf numFmtId="165" fontId="7" fillId="2" borderId="9" applyProtection="1" pivotButton="0" quotePrefix="0" xfId="1">
      <protection locked="0" hidden="0"/>
    </xf>
    <xf numFmtId="0" fontId="7" fillId="2" borderId="28" applyAlignment="1" applyProtection="1" pivotButton="0" quotePrefix="0" xfId="0">
      <alignment horizontal="center"/>
      <protection locked="0" hidden="0"/>
    </xf>
    <xf numFmtId="165" fontId="7" fillId="2" borderId="48" applyProtection="1" pivotButton="0" quotePrefix="0" xfId="1">
      <protection locked="0" hidden="0"/>
    </xf>
    <xf numFmtId="0" fontId="7" fillId="2" borderId="53" applyAlignment="1" applyProtection="1" pivotButton="0" quotePrefix="0" xfId="0">
      <alignment horizontal="left" vertical="center" wrapText="1"/>
      <protection locked="0" hidden="0"/>
    </xf>
    <xf numFmtId="0" fontId="7" fillId="2" borderId="26" applyAlignment="1" applyProtection="1" pivotButton="0" quotePrefix="0" xfId="0">
      <alignment horizontal="left" vertical="center" wrapText="1"/>
      <protection locked="0" hidden="0"/>
    </xf>
    <xf numFmtId="43" fontId="7" fillId="2" borderId="42" applyAlignment="1" pivotButton="0" quotePrefix="0" xfId="1">
      <alignment horizontal="center"/>
    </xf>
    <xf numFmtId="0" fontId="0" fillId="2" borderId="4" pivotButton="0" quotePrefix="0" xfId="0"/>
    <xf numFmtId="165" fontId="0" fillId="0" borderId="56" pivotButton="0" quotePrefix="0" xfId="0"/>
    <xf numFmtId="0" fontId="0" fillId="2" borderId="0" pivotButton="0" quotePrefix="0" xfId="0"/>
    <xf numFmtId="43" fontId="10" fillId="3" borderId="1" applyAlignment="1" applyProtection="1" pivotButton="0" quotePrefix="0" xfId="1">
      <alignment horizontal="right"/>
      <protection locked="0" hidden="0"/>
    </xf>
    <xf numFmtId="43" fontId="10" fillId="3" borderId="2" applyAlignment="1" applyProtection="1" pivotButton="0" quotePrefix="0" xfId="1">
      <alignment horizontal="right"/>
      <protection locked="0" hidden="0"/>
    </xf>
    <xf numFmtId="43" fontId="10" fillId="3" borderId="27" applyAlignment="1" applyProtection="1" pivotButton="0" quotePrefix="0" xfId="1">
      <alignment horizontal="right"/>
      <protection locked="0" hidden="0"/>
    </xf>
    <xf numFmtId="43" fontId="0" fillId="0" borderId="22" pivotButton="0" quotePrefix="0" xfId="0"/>
    <xf numFmtId="0" fontId="7" fillId="0" borderId="55" applyAlignment="1" applyProtection="1" pivotButton="0" quotePrefix="0" xfId="0">
      <alignment horizontal="left"/>
      <protection locked="0" hidden="0"/>
    </xf>
    <xf numFmtId="0" fontId="7" fillId="0" borderId="16" applyAlignment="1" applyProtection="1" pivotButton="0" quotePrefix="0" xfId="0">
      <alignment horizontal="left"/>
      <protection locked="0" hidden="0"/>
    </xf>
    <xf numFmtId="0" fontId="7" fillId="0" borderId="3" applyAlignment="1" applyProtection="1" pivotButton="0" quotePrefix="0" xfId="0">
      <alignment horizontal="left"/>
      <protection locked="0" hidden="0"/>
    </xf>
    <xf numFmtId="166" fontId="7" fillId="0" borderId="37" applyAlignment="1" applyProtection="1" pivotButton="0" quotePrefix="0" xfId="1">
      <alignment horizontal="center"/>
      <protection locked="0" hidden="0"/>
    </xf>
    <xf numFmtId="0" fontId="7" fillId="0" borderId="30" applyAlignment="1" applyProtection="1" pivotButton="0" quotePrefix="0" xfId="0">
      <alignment horizontal="center"/>
      <protection locked="0" hidden="0"/>
    </xf>
    <xf numFmtId="43" fontId="7" fillId="0" borderId="30" applyAlignment="1" applyProtection="1" pivotButton="0" quotePrefix="0" xfId="1">
      <alignment horizontal="center"/>
      <protection locked="0" hidden="0"/>
    </xf>
    <xf numFmtId="165" fontId="7" fillId="0" borderId="49" applyProtection="1" pivotButton="0" quotePrefix="0" xfId="1">
      <protection locked="0" hidden="0"/>
    </xf>
    <xf numFmtId="0" fontId="7" fillId="0" borderId="29" applyAlignment="1" applyProtection="1" pivotButton="0" quotePrefix="0" xfId="0">
      <alignment horizontal="center"/>
      <protection locked="0" hidden="0"/>
    </xf>
    <xf numFmtId="165" fontId="7" fillId="0" borderId="31" applyProtection="1" pivotButton="0" quotePrefix="0" xfId="1">
      <protection locked="0" hidden="0"/>
    </xf>
    <xf numFmtId="0" fontId="7" fillId="0" borderId="28" applyAlignment="1" applyProtection="1" pivotButton="0" quotePrefix="0" xfId="0">
      <alignment horizontal="left"/>
      <protection locked="0" hidden="0"/>
    </xf>
    <xf numFmtId="0" fontId="7" fillId="0" borderId="9" applyAlignment="1" applyProtection="1" pivotButton="0" quotePrefix="0" xfId="0">
      <alignment horizontal="left"/>
      <protection locked="0" hidden="0"/>
    </xf>
    <xf numFmtId="0" fontId="7" fillId="0" borderId="10" applyAlignment="1" applyProtection="1" pivotButton="0" quotePrefix="0" xfId="0">
      <alignment horizontal="left"/>
      <protection locked="0" hidden="0"/>
    </xf>
    <xf numFmtId="165" fontId="10" fillId="0" borderId="48" pivotButton="0" quotePrefix="0" xfId="1"/>
    <xf numFmtId="0" fontId="0" fillId="0" borderId="38" pivotButton="0" quotePrefix="0" xfId="0"/>
    <xf numFmtId="43" fontId="10" fillId="3" borderId="33" applyAlignment="1" applyProtection="1" pivotButton="0" quotePrefix="0" xfId="1">
      <alignment horizontal="center"/>
      <protection locked="0" hidden="0"/>
    </xf>
    <xf numFmtId="43" fontId="10" fillId="3" borderId="0" applyAlignment="1" applyProtection="1" pivotButton="0" quotePrefix="0" xfId="1">
      <alignment horizontal="center"/>
      <protection locked="0" hidden="0"/>
    </xf>
    <xf numFmtId="43" fontId="10" fillId="3" borderId="24" applyAlignment="1" applyProtection="1" pivotButton="0" quotePrefix="0" xfId="1">
      <alignment horizontal="center"/>
      <protection locked="0" hidden="0"/>
    </xf>
    <xf numFmtId="165" fontId="7" fillId="0" borderId="34" pivotButton="0" quotePrefix="0" xfId="1"/>
    <xf numFmtId="0" fontId="7" fillId="0" borderId="33" applyAlignment="1" applyProtection="1" pivotButton="0" quotePrefix="0" xfId="0">
      <alignment horizontal="center"/>
      <protection locked="0" hidden="0"/>
    </xf>
    <xf numFmtId="0" fontId="7" fillId="0" borderId="24" applyAlignment="1" applyProtection="1" pivotButton="0" quotePrefix="0" xfId="0">
      <alignment horizontal="center"/>
      <protection locked="0" hidden="0"/>
    </xf>
    <xf numFmtId="165" fontId="7" fillId="0" borderId="52" pivotButton="0" quotePrefix="0" xfId="1"/>
    <xf numFmtId="0" fontId="7" fillId="0" borderId="36" applyAlignment="1" applyProtection="1" pivotButton="0" quotePrefix="0" xfId="0">
      <alignment horizontal="left"/>
      <protection locked="0" hidden="0"/>
    </xf>
    <xf numFmtId="0" fontId="7" fillId="0" borderId="49" applyAlignment="1" applyProtection="1" pivotButton="0" quotePrefix="0" xfId="0">
      <alignment horizontal="left"/>
      <protection locked="0" hidden="0"/>
    </xf>
    <xf numFmtId="0" fontId="7" fillId="0" borderId="37" applyAlignment="1" applyProtection="1" pivotButton="0" quotePrefix="0" xfId="0">
      <alignment horizontal="left"/>
      <protection locked="0" hidden="0"/>
    </xf>
    <xf numFmtId="0" fontId="0" fillId="0" borderId="33" pivotButton="0" quotePrefix="0" xfId="0"/>
    <xf numFmtId="0" fontId="10" fillId="3" borderId="42" applyAlignment="1" applyProtection="1" pivotButton="0" quotePrefix="0" xfId="0">
      <alignment horizontal="left" vertical="center" wrapText="1"/>
      <protection locked="0" hidden="0"/>
    </xf>
    <xf numFmtId="0" fontId="10" fillId="3" borderId="15" applyAlignment="1" applyProtection="1" pivotButton="0" quotePrefix="0" xfId="0">
      <alignment horizontal="left" vertical="center" wrapText="1"/>
      <protection locked="0" hidden="0"/>
    </xf>
    <xf numFmtId="0" fontId="10" fillId="4" borderId="42" applyAlignment="1" applyProtection="1" pivotButton="0" quotePrefix="0" xfId="0">
      <alignment horizontal="center" vertical="center"/>
      <protection locked="0" hidden="0"/>
    </xf>
    <xf numFmtId="0" fontId="10" fillId="4" borderId="15" applyAlignment="1" applyProtection="1" pivotButton="0" quotePrefix="0" xfId="0">
      <alignment horizontal="center" vertical="center"/>
      <protection locked="0" hidden="0"/>
    </xf>
    <xf numFmtId="0" fontId="10" fillId="4" borderId="0" applyAlignment="1" applyProtection="1" pivotButton="0" quotePrefix="0" xfId="0">
      <alignment horizontal="center" vertical="center"/>
      <protection locked="0" hidden="0"/>
    </xf>
    <xf numFmtId="0" fontId="10" fillId="4" borderId="34" applyAlignment="1" applyProtection="1" pivotButton="0" quotePrefix="0" xfId="0">
      <alignment horizontal="center" vertical="center"/>
      <protection locked="0" hidden="0"/>
    </xf>
    <xf numFmtId="0" fontId="10" fillId="3" borderId="11" applyAlignment="1" applyProtection="1" pivotButton="0" quotePrefix="0" xfId="0">
      <alignment horizontal="left" vertical="center" wrapText="1"/>
      <protection locked="0" hidden="0"/>
    </xf>
    <xf numFmtId="0" fontId="10" fillId="3" borderId="13" applyAlignment="1" applyProtection="1" pivotButton="0" quotePrefix="0" xfId="0">
      <alignment horizontal="left" vertical="center" wrapText="1"/>
      <protection locked="0" hidden="0"/>
    </xf>
    <xf numFmtId="0" fontId="10" fillId="4" borderId="11" applyAlignment="1" applyProtection="1" pivotButton="0" quotePrefix="0" xfId="0">
      <alignment horizontal="center" vertical="center"/>
      <protection locked="0" hidden="0"/>
    </xf>
    <xf numFmtId="0" fontId="10" fillId="4" borderId="13" applyAlignment="1" applyProtection="1" pivotButton="0" quotePrefix="0" xfId="0">
      <alignment horizontal="center" vertical="center"/>
      <protection locked="0" hidden="0"/>
    </xf>
    <xf numFmtId="0" fontId="10" fillId="4" borderId="54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2" pivotButton="0" quotePrefix="0" xfId="0"/>
    <xf numFmtId="0" fontId="0" fillId="0" borderId="35" pivotButton="0" quotePrefix="0" xfId="0"/>
    <xf numFmtId="0" fontId="2" fillId="0" borderId="17" applyAlignment="1" pivotButton="0" quotePrefix="0" xfId="0">
      <alignment horizontal="center"/>
    </xf>
    <xf numFmtId="0" fontId="2" fillId="0" borderId="17" pivotButton="0" quotePrefix="0" xfId="0"/>
    <xf numFmtId="0" fontId="12" fillId="2" borderId="1" applyAlignment="1" pivotButton="0" quotePrefix="0" xfId="0">
      <alignment horizontal="center" vertical="center"/>
    </xf>
    <xf numFmtId="0" fontId="0" fillId="0" borderId="2" pivotButton="0" quotePrefix="0" xfId="0"/>
    <xf numFmtId="17" fontId="9" fillId="2" borderId="6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3" applyAlignment="1" pivotButton="0" quotePrefix="0" xfId="0">
      <alignment horizontal="left"/>
    </xf>
    <xf numFmtId="0" fontId="0" fillId="0" borderId="12" pivotButton="0" quotePrefix="0" xfId="0"/>
    <xf numFmtId="0" fontId="13" fillId="0" borderId="6" applyAlignment="1" pivotButton="0" quotePrefix="0" xfId="0">
      <alignment horizontal="center"/>
    </xf>
    <xf numFmtId="0" fontId="0" fillId="0" borderId="13" pivotButton="0" quotePrefix="0" xfId="0"/>
    <xf numFmtId="0" fontId="0" fillId="0" borderId="7" applyAlignment="1" pivotButton="0" quotePrefix="0" xfId="0">
      <alignment horizontal="left"/>
    </xf>
    <xf numFmtId="0" fontId="0" fillId="0" borderId="10" pivotButton="0" quotePrefix="0" xfId="0"/>
    <xf numFmtId="0" fontId="13" fillId="0" borderId="5" applyAlignment="1" pivotButton="0" quotePrefix="0" xfId="0">
      <alignment horizontal="center"/>
    </xf>
    <xf numFmtId="0" fontId="0" fillId="0" borderId="9" pivotButton="0" quotePrefix="0" xfId="0"/>
    <xf numFmtId="0" fontId="0" fillId="0" borderId="15" pivotButton="0" quotePrefix="0" xfId="0"/>
    <xf numFmtId="0" fontId="0" fillId="0" borderId="26" pivotButton="0" quotePrefix="0" xfId="0"/>
    <xf numFmtId="0" fontId="2" fillId="0" borderId="65" applyAlignment="1" pivotButton="0" quotePrefix="0" xfId="0">
      <alignment horizontal="center" vertical="center"/>
    </xf>
    <xf numFmtId="0" fontId="10" fillId="3" borderId="65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10" fillId="3" borderId="65" applyAlignment="1" applyProtection="1" pivotButton="0" quotePrefix="0" xfId="0">
      <alignment horizont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9" pivotButton="0" quotePrefix="0" xfId="0"/>
    <xf numFmtId="0" fontId="0" fillId="0" borderId="6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166" fontId="13" fillId="0" borderId="12" applyAlignment="1" applyProtection="1" pivotButton="0" quotePrefix="0" xfId="1">
      <alignment horizontal="center"/>
      <protection locked="0" hidden="0"/>
    </xf>
    <xf numFmtId="167" fontId="13" fillId="0" borderId="6" applyAlignment="1" applyProtection="1" pivotButton="0" quotePrefix="0" xfId="1">
      <alignment horizontal="center"/>
      <protection locked="0" hidden="0"/>
    </xf>
    <xf numFmtId="43" fontId="13" fillId="0" borderId="6" applyAlignment="1" applyProtection="1" pivotButton="0" quotePrefix="0" xfId="1">
      <alignment horizontal="center"/>
      <protection locked="0" hidden="0"/>
    </xf>
    <xf numFmtId="166" fontId="13" fillId="0" borderId="6" applyAlignment="1" applyProtection="1" pivotButton="0" quotePrefix="0" xfId="1">
      <alignment horizontal="center"/>
      <protection locked="0" hidden="0"/>
    </xf>
    <xf numFmtId="18" fontId="13" fillId="0" borderId="6" applyProtection="1" pivotButton="0" quotePrefix="0" xfId="1">
      <protection locked="0" hidden="0"/>
    </xf>
    <xf numFmtId="43" fontId="13" fillId="0" borderId="5" applyAlignment="1" applyProtection="1" pivotButton="0" quotePrefix="0" xfId="1">
      <alignment horizontal="left" vertical="center"/>
      <protection locked="0" hidden="0"/>
    </xf>
    <xf numFmtId="43" fontId="7" fillId="0" borderId="6" applyProtection="1" pivotButton="0" quotePrefix="0" xfId="1">
      <protection locked="0" hidden="0"/>
    </xf>
    <xf numFmtId="43" fontId="7" fillId="0" borderId="25" pivotButton="0" quotePrefix="0" xfId="1"/>
    <xf numFmtId="165" fontId="13" fillId="0" borderId="23" applyAlignment="1" applyProtection="1" pivotButton="0" quotePrefix="0" xfId="1">
      <alignment horizontal="center"/>
      <protection locked="0" hidden="0"/>
    </xf>
    <xf numFmtId="165" fontId="7" fillId="0" borderId="6" applyProtection="1" pivotButton="0" quotePrefix="0" xfId="1">
      <protection locked="0" hidden="0"/>
    </xf>
    <xf numFmtId="166" fontId="13" fillId="0" borderId="10" applyAlignment="1" applyProtection="1" pivotButton="0" quotePrefix="0" xfId="1">
      <alignment horizontal="center"/>
      <protection locked="0" hidden="0"/>
    </xf>
    <xf numFmtId="167" fontId="13" fillId="0" borderId="5" applyAlignment="1" applyProtection="1" pivotButton="0" quotePrefix="0" xfId="1">
      <alignment horizontal="center"/>
      <protection locked="0" hidden="0"/>
    </xf>
    <xf numFmtId="43" fontId="13" fillId="0" borderId="5" applyAlignment="1" applyProtection="1" pivotButton="0" quotePrefix="0" xfId="1">
      <alignment horizontal="center"/>
      <protection locked="0" hidden="0"/>
    </xf>
    <xf numFmtId="166" fontId="13" fillId="0" borderId="5" applyAlignment="1" applyProtection="1" pivotButton="0" quotePrefix="0" xfId="1">
      <alignment horizontal="center"/>
      <protection locked="0" hidden="0"/>
    </xf>
    <xf numFmtId="18" fontId="13" fillId="0" borderId="5" applyProtection="1" pivotButton="0" quotePrefix="0" xfId="1">
      <protection locked="0" hidden="0"/>
    </xf>
    <xf numFmtId="43" fontId="7" fillId="0" borderId="5" applyAlignment="1" applyProtection="1" pivotButton="0" quotePrefix="0" xfId="1">
      <alignment horizontal="left" vertical="center"/>
      <protection locked="0" hidden="0"/>
    </xf>
    <xf numFmtId="43" fontId="7" fillId="0" borderId="48" pivotButton="0" quotePrefix="0" xfId="1"/>
    <xf numFmtId="165" fontId="7" fillId="0" borderId="7" applyAlignment="1" applyProtection="1" pivotButton="0" quotePrefix="0" xfId="1">
      <alignment horizontal="center"/>
      <protection locked="0" hidden="0"/>
    </xf>
    <xf numFmtId="165" fontId="13" fillId="0" borderId="5" applyProtection="1" pivotButton="0" quotePrefix="0" xfId="1">
      <protection locked="0" hidden="0"/>
    </xf>
    <xf numFmtId="165" fontId="7" fillId="0" borderId="5" applyProtection="1" pivotButton="0" quotePrefix="0" xfId="1">
      <protection locked="0" hidden="0"/>
    </xf>
    <xf numFmtId="167" fontId="7" fillId="0" borderId="5" applyAlignment="1" applyProtection="1" pivotButton="0" quotePrefix="0" xfId="1">
      <alignment horizontal="center"/>
      <protection locked="0" hidden="0"/>
    </xf>
    <xf numFmtId="43" fontId="7" fillId="0" borderId="5" applyAlignment="1" applyProtection="1" pivotButton="0" quotePrefix="0" xfId="1">
      <alignment horizontal="center"/>
      <protection locked="0" hidden="0"/>
    </xf>
    <xf numFmtId="167" fontId="7" fillId="0" borderId="5" applyProtection="1" pivotButton="0" quotePrefix="1" xfId="1">
      <protection locked="0" hidden="0"/>
    </xf>
    <xf numFmtId="43" fontId="7" fillId="0" borderId="5" applyProtection="1" pivotButton="0" quotePrefix="0" xfId="1">
      <protection locked="0" hidden="0"/>
    </xf>
    <xf numFmtId="167" fontId="7" fillId="0" borderId="30" applyProtection="1" pivotButton="0" quotePrefix="0" xfId="1">
      <protection locked="0" hidden="0"/>
    </xf>
    <xf numFmtId="43" fontId="7" fillId="0" borderId="30" applyProtection="1" pivotButton="0" quotePrefix="0" xfId="1">
      <protection locked="0" hidden="0"/>
    </xf>
    <xf numFmtId="43" fontId="7" fillId="0" borderId="37" applyAlignment="1" applyProtection="1" pivotButton="0" quotePrefix="0" xfId="1">
      <alignment horizontal="left" vertical="center"/>
      <protection locked="0" hidden="0"/>
    </xf>
    <xf numFmtId="43" fontId="7" fillId="0" borderId="50" applyProtection="1" pivotButton="0" quotePrefix="0" xfId="1">
      <protection locked="0" hidden="0"/>
    </xf>
    <xf numFmtId="43" fontId="7" fillId="0" borderId="31" pivotButton="0" quotePrefix="0" xfId="1"/>
    <xf numFmtId="165" fontId="7" fillId="0" borderId="36" applyAlignment="1" applyProtection="1" pivotButton="0" quotePrefix="0" xfId="1">
      <alignment horizontal="center"/>
      <protection locked="0" hidden="0"/>
    </xf>
    <xf numFmtId="165" fontId="7" fillId="0" borderId="30" applyProtection="1" pivotButton="0" quotePrefix="0" xfId="1">
      <protection locked="0" hidden="0"/>
    </xf>
    <xf numFmtId="165" fontId="7" fillId="0" borderId="45" applyProtection="1" pivotButton="0" quotePrefix="0" xfId="1">
      <protection locked="0" hidden="0"/>
    </xf>
    <xf numFmtId="43" fontId="10" fillId="0" borderId="47" applyAlignment="1" applyProtection="1" pivotButton="0" quotePrefix="0" xfId="1">
      <alignment horizont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43" fontId="10" fillId="3" borderId="69" applyAlignment="1" applyProtection="1" pivotButton="0" quotePrefix="0" xfId="1">
      <alignment horizontal="center"/>
      <protection locked="0" hidden="0"/>
    </xf>
    <xf numFmtId="0" fontId="0" fillId="0" borderId="40" applyProtection="1" pivotButton="0" quotePrefix="0" xfId="0">
      <protection locked="0" hidden="0"/>
    </xf>
    <xf numFmtId="43" fontId="10" fillId="0" borderId="57" applyAlignment="1" pivotButton="0" quotePrefix="0" xfId="1">
      <alignment horizontal="center"/>
    </xf>
    <xf numFmtId="165" fontId="10" fillId="0" borderId="32" applyAlignment="1" pivotButton="0" quotePrefix="0" xfId="1">
      <alignment horizontal="center"/>
    </xf>
    <xf numFmtId="165" fontId="10" fillId="0" borderId="50" applyAlignment="1" pivotButton="0" quotePrefix="0" xfId="1">
      <alignment horizontal="center"/>
    </xf>
    <xf numFmtId="165" fontId="10" fillId="0" borderId="44" applyAlignment="1" pivotButton="0" quotePrefix="0" xfId="1">
      <alignment horizontal="center"/>
    </xf>
    <xf numFmtId="164" fontId="8" fillId="0" borderId="25" pivotButton="0" quotePrefix="0" xfId="0"/>
    <xf numFmtId="0" fontId="2" fillId="0" borderId="66" applyAlignment="1" pivotButton="0" quotePrefix="0" xfId="0">
      <alignment horizontal="center" vertical="center"/>
    </xf>
    <xf numFmtId="43" fontId="10" fillId="3" borderId="19" applyAlignment="1" applyProtection="1" pivotButton="0" quotePrefix="0" xfId="1">
      <alignment horizontal="center"/>
      <protection locked="0" hidden="0"/>
    </xf>
    <xf numFmtId="43" fontId="10" fillId="3" borderId="65" applyAlignment="1" applyProtection="1" pivotButton="0" quotePrefix="0" xfId="1">
      <alignment horizontal="center" vertical="center"/>
      <protection locked="0" hidden="0"/>
    </xf>
    <xf numFmtId="43" fontId="10" fillId="3" borderId="1" applyAlignment="1" applyProtection="1" pivotButton="0" quotePrefix="0" xfId="1">
      <alignment vertical="center"/>
      <protection locked="0" hidden="0"/>
    </xf>
    <xf numFmtId="43" fontId="10" fillId="3" borderId="27" applyAlignment="1" applyProtection="1" pivotButton="0" quotePrefix="0" xfId="1">
      <alignment vertical="center"/>
      <protection locked="0" hidden="0"/>
    </xf>
    <xf numFmtId="43" fontId="10" fillId="3" borderId="18" applyAlignment="1" applyProtection="1" pivotButton="0" quotePrefix="0" xfId="1">
      <alignment horizontal="center" vertical="center"/>
      <protection locked="0" hidden="0"/>
    </xf>
    <xf numFmtId="43" fontId="10" fillId="3" borderId="22" applyAlignment="1" applyProtection="1" pivotButton="0" quotePrefix="0" xfId="1">
      <alignment horizontal="center" vertical="center"/>
      <protection locked="0" hidden="0"/>
    </xf>
    <xf numFmtId="43" fontId="10" fillId="0" borderId="27" applyAlignment="1" applyProtection="1" pivotButton="0" quotePrefix="0" xfId="1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43" fontId="10" fillId="0" borderId="21" applyAlignment="1" applyProtection="1" pivotButton="0" quotePrefix="0" xfId="1">
      <alignment horizontal="center" vertical="center"/>
      <protection locked="0" hidden="0"/>
    </xf>
    <xf numFmtId="0" fontId="7" fillId="0" borderId="64" applyAlignment="1" applyProtection="1" pivotButton="0" quotePrefix="0" xfId="0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43" fontId="7" fillId="0" borderId="43" applyAlignment="1" pivotButton="0" quotePrefix="0" xfId="1">
      <alignment horizontal="center"/>
    </xf>
    <xf numFmtId="43" fontId="0" fillId="0" borderId="48" pivotButton="0" quotePrefix="0" xfId="0"/>
    <xf numFmtId="43" fontId="7" fillId="0" borderId="6" applyAlignment="1" applyProtection="1" pivotButton="0" quotePrefix="0" xfId="1">
      <alignment horizontal="center"/>
      <protection locked="0" hidden="0"/>
    </xf>
    <xf numFmtId="165" fontId="7" fillId="0" borderId="13" applyProtection="1" pivotButton="0" quotePrefix="0" xfId="1">
      <protection locked="0" hidden="0"/>
    </xf>
    <xf numFmtId="0" fontId="13" fillId="0" borderId="23" applyAlignment="1" applyProtection="1" pivotButton="0" quotePrefix="0" xfId="0">
      <alignment horizontal="center"/>
      <protection locked="0" hidden="0"/>
    </xf>
    <xf numFmtId="165" fontId="13" fillId="0" borderId="25" applyProtection="1" pivotButton="0" quotePrefix="0" xfId="1">
      <protection locked="0" hidden="0"/>
    </xf>
    <xf numFmtId="0" fontId="7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43" fontId="7" fillId="0" borderId="8" applyAlignment="1" pivotButton="0" quotePrefix="0" xfId="1">
      <alignment horizontal="center"/>
    </xf>
    <xf numFmtId="165" fontId="0" fillId="0" borderId="48" pivotButton="0" quotePrefix="0" xfId="0"/>
    <xf numFmtId="165" fontId="7" fillId="0" borderId="9" applyProtection="1" pivotButton="0" quotePrefix="0" xfId="1">
      <protection locked="0" hidden="0"/>
    </xf>
    <xf numFmtId="165" fontId="7" fillId="0" borderId="48" applyProtection="1" pivotButton="0" quotePrefix="0" xfId="1">
      <protection locked="0" hidden="0"/>
    </xf>
    <xf numFmtId="43" fontId="7" fillId="0" borderId="42" applyAlignment="1" pivotButton="0" quotePrefix="0" xfId="1">
      <alignment horizontal="center"/>
    </xf>
    <xf numFmtId="43" fontId="7" fillId="2" borderId="8" applyAlignment="1" applyProtection="1" pivotButton="0" quotePrefix="0" xfId="1">
      <alignment horizontal="center"/>
      <protection locked="0" hidden="0"/>
    </xf>
    <xf numFmtId="43" fontId="7" fillId="2" borderId="10" applyAlignment="1" applyProtection="1" pivotButton="0" quotePrefix="0" xfId="1">
      <alignment horizontal="center"/>
      <protection locked="0" hidden="0"/>
    </xf>
    <xf numFmtId="43" fontId="7" fillId="2" borderId="5" applyProtection="1" pivotButton="0" quotePrefix="0" xfId="1">
      <protection locked="0" hidden="0"/>
    </xf>
    <xf numFmtId="165" fontId="7" fillId="2" borderId="9" applyProtection="1" pivotButton="0" quotePrefix="0" xfId="1">
      <protection locked="0" hidden="0"/>
    </xf>
    <xf numFmtId="165" fontId="7" fillId="2" borderId="48" applyProtection="1" pivotButton="0" quotePrefix="0" xfId="1">
      <protection locked="0" hidden="0"/>
    </xf>
    <xf numFmtId="0" fontId="7" fillId="2" borderId="51" applyAlignment="1" applyProtection="1" pivotButton="0" quotePrefix="0" xfId="0">
      <alignment horizontal="left" vertical="center" wrapText="1"/>
      <protection locked="0" hidden="0"/>
    </xf>
    <xf numFmtId="0" fontId="0" fillId="0" borderId="26" applyProtection="1" pivotButton="0" quotePrefix="0" xfId="0">
      <protection locked="0" hidden="0"/>
    </xf>
    <xf numFmtId="43" fontId="7" fillId="2" borderId="42" applyAlignment="1" pivotButton="0" quotePrefix="0" xfId="1">
      <alignment horizontal="center"/>
    </xf>
    <xf numFmtId="165" fontId="0" fillId="0" borderId="56" pivotButton="0" quotePrefix="0" xfId="0"/>
    <xf numFmtId="43" fontId="10" fillId="3" borderId="20" applyAlignment="1" applyProtection="1" pivotButton="0" quotePrefix="0" xfId="1">
      <alignment horizontal="right"/>
      <protection locked="0" hidden="0"/>
    </xf>
    <xf numFmtId="43" fontId="0" fillId="0" borderId="22" pivotButton="0" quotePrefix="0" xfId="0"/>
    <xf numFmtId="0" fontId="7" fillId="0" borderId="64" applyAlignment="1" applyProtection="1" pivotButton="0" quotePrefix="0" xfId="0">
      <alignment horizontal="left"/>
      <protection locked="0" hidden="0"/>
    </xf>
    <xf numFmtId="0" fontId="0" fillId="0" borderId="16" applyProtection="1" pivotButton="0" quotePrefix="0" xfId="0">
      <protection locked="0" hidden="0"/>
    </xf>
    <xf numFmtId="165" fontId="0" fillId="5" borderId="25" pivotButton="0" quotePrefix="0" xfId="1"/>
    <xf numFmtId="0" fontId="0" fillId="0" borderId="37" applyProtection="1" pivotButton="0" quotePrefix="0" xfId="0">
      <protection locked="0" hidden="0"/>
    </xf>
    <xf numFmtId="43" fontId="7" fillId="0" borderId="30" applyAlignment="1" applyProtection="1" pivotButton="0" quotePrefix="0" xfId="1">
      <alignment horizontal="center"/>
      <protection locked="0" hidden="0"/>
    </xf>
    <xf numFmtId="165" fontId="7" fillId="0" borderId="49" applyProtection="1" pivotButton="0" quotePrefix="0" xfId="1">
      <protection locked="0" hidden="0"/>
    </xf>
    <xf numFmtId="165" fontId="7" fillId="0" borderId="31" applyProtection="1" pivotButton="0" quotePrefix="0" xfId="1">
      <protection locked="0" hidden="0"/>
    </xf>
    <xf numFmtId="0" fontId="7" fillId="0" borderId="7" applyAlignment="1" applyProtection="1" pivotButton="0" quotePrefix="0" xfId="0">
      <alignment horizontal="left"/>
      <protection locked="0" hidden="0"/>
    </xf>
    <xf numFmtId="0" fontId="0" fillId="0" borderId="9" applyProtection="1" pivotButton="0" quotePrefix="0" xfId="0">
      <protection locked="0" hidden="0"/>
    </xf>
    <xf numFmtId="165" fontId="10" fillId="0" borderId="48" pivotButton="0" quotePrefix="0" xfId="1"/>
    <xf numFmtId="43" fontId="10" fillId="3" borderId="67" applyAlignment="1" applyProtection="1" pivotButton="0" quotePrefix="0" xfId="1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165" fontId="7" fillId="0" borderId="34" pivotButton="0" quotePrefix="0" xfId="1"/>
    <xf numFmtId="0" fontId="7" fillId="0" borderId="67" applyAlignment="1" applyProtection="1" pivotButton="0" quotePrefix="0" xfId="0">
      <alignment horizontal="center"/>
      <protection locked="0" hidden="0"/>
    </xf>
    <xf numFmtId="165" fontId="7" fillId="0" borderId="52" pivotButton="0" quotePrefix="0" xfId="1"/>
    <xf numFmtId="0" fontId="7" fillId="0" borderId="29" applyAlignment="1" applyProtection="1" pivotButton="0" quotePrefix="0" xfId="0">
      <alignment horizontal="left"/>
      <protection locked="0" hidden="0"/>
    </xf>
    <xf numFmtId="0" fontId="0" fillId="0" borderId="49" applyProtection="1" pivotButton="0" quotePrefix="0" xfId="0">
      <protection locked="0" hidden="0"/>
    </xf>
    <xf numFmtId="165" fontId="10" fillId="0" borderId="31" pivotButton="0" quotePrefix="0" xfId="1"/>
    <xf numFmtId="0" fontId="10" fillId="3" borderId="8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10" fillId="4" borderId="48" applyAlignment="1" applyProtection="1" pivotButton="0" quotePrefix="0" xfId="0">
      <alignment horizontal="center" vertical="center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34" pivotButton="0" quotePrefix="0" xfId="0"/>
    <xf numFmtId="0" fontId="0" fillId="0" borderId="17" pivotButton="0" quotePrefix="0" xfId="0"/>
  </cellXfs>
  <cellStyles count="4">
    <cellStyle name="Normal" xfId="0" builtinId="0"/>
    <cellStyle name="Comma" xfId="1" builtinId="3"/>
    <cellStyle name="Comma 2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28576</colOff>
      <row>0</row>
      <rowOff>123825</rowOff>
    </from>
    <to>
      <col>3</col>
      <colOff>85726</colOff>
      <row>0</row>
      <rowOff>438559</rowOff>
    </to>
    <pic>
      <nvPicPr>
        <cNvPr id="21" name="Picture 20" descr="A red letter on a white background&#10;&#10;AI-generated content may be incorrect.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76" y="123825"/>
          <a:ext cx="1943100" cy="3147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1143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tabSelected="1" workbookViewId="0">
      <selection activeCell="R21" sqref="R21"/>
    </sheetView>
  </sheetViews>
  <sheetFormatPr baseColWidth="8" defaultRowHeight="15"/>
  <cols>
    <col width="8.7109375" customWidth="1" style="34" min="1" max="1"/>
    <col width="10.42578125" customWidth="1" style="34" min="2" max="2"/>
    <col width="9.140625" customWidth="1" style="34" min="8" max="8"/>
    <col width="10.7109375" customWidth="1" style="34" min="11" max="11"/>
    <col width="12.28515625" customWidth="1" style="34" min="12" max="12"/>
    <col width="11" customWidth="1" style="34" min="13" max="13"/>
    <col width="10.28515625" customWidth="1" style="34" min="14" max="14"/>
    <col width="14" customWidth="1" style="34" min="16" max="16"/>
  </cols>
  <sheetData>
    <row r="1" ht="37.5" customFormat="1" customHeight="1" s="1" thickBot="1">
      <c r="A1" s="6" t="n"/>
    </row>
    <row r="2" ht="18" customFormat="1" customHeight="1" s="1" thickBot="1">
      <c r="A2" s="226" t="inlineStr">
        <is>
          <t>Travel Expenses Statement for the month of June 2026</t>
        </is>
      </c>
      <c r="B2" s="227" t="n"/>
      <c r="C2" s="227" t="n"/>
      <c r="D2" s="227" t="n"/>
      <c r="E2" s="227" t="n"/>
      <c r="F2" s="227" t="n"/>
      <c r="G2" s="227" t="n"/>
      <c r="H2" s="227" t="n"/>
      <c r="I2" s="227" t="n"/>
      <c r="J2" s="227" t="n"/>
      <c r="K2" s="227" t="n"/>
      <c r="L2" s="228" t="n"/>
      <c r="M2" s="227" t="n"/>
      <c r="N2" s="227" t="n"/>
      <c r="O2" s="227" t="n"/>
      <c r="P2" s="229" t="n"/>
    </row>
    <row r="3" s="34">
      <c r="A3" s="230" t="inlineStr">
        <is>
          <t>Employee Name</t>
        </is>
      </c>
      <c r="B3" s="231" t="n"/>
      <c r="C3" s="232" t="inlineStr">
        <is>
          <t>S Harshavardhan Reddy</t>
        </is>
      </c>
      <c r="D3" s="233" t="n"/>
      <c r="E3" s="233" t="n"/>
      <c r="F3" s="233" t="n"/>
      <c r="G3" s="233" t="n"/>
      <c r="H3" s="231" t="n"/>
      <c r="I3" s="81" t="inlineStr">
        <is>
          <t>Bank Name</t>
        </is>
      </c>
      <c r="J3" s="231" t="n"/>
      <c r="K3" s="232" t="inlineStr">
        <is>
          <t>N/A</t>
        </is>
      </c>
      <c r="L3" s="233" t="n"/>
      <c r="M3" s="233" t="n"/>
      <c r="N3" s="233" t="n"/>
      <c r="O3" s="233" t="n"/>
      <c r="P3" s="231" t="n"/>
    </row>
    <row r="4" s="34">
      <c r="A4" s="234" t="inlineStr">
        <is>
          <t>Employee ID</t>
        </is>
      </c>
      <c r="B4" s="235" t="n"/>
      <c r="C4" s="236" t="inlineStr">
        <is>
          <t>HR-EMP-10868</t>
        </is>
      </c>
      <c r="D4" s="237" t="n"/>
      <c r="E4" s="237" t="n"/>
      <c r="F4" s="237" t="n"/>
      <c r="G4" s="237" t="n"/>
      <c r="H4" s="235" t="n"/>
      <c r="I4" s="89" t="inlineStr">
        <is>
          <t>Account No.</t>
        </is>
      </c>
      <c r="J4" s="235" t="n"/>
      <c r="K4" s="236" t="inlineStr">
        <is>
          <t>N/A</t>
        </is>
      </c>
      <c r="L4" s="237" t="n"/>
      <c r="M4" s="237" t="n"/>
      <c r="N4" s="237" t="n"/>
      <c r="O4" s="237" t="n"/>
      <c r="P4" s="235" t="n"/>
    </row>
    <row r="5" s="34">
      <c r="A5" s="234" t="inlineStr">
        <is>
          <t>Project Name - State</t>
        </is>
      </c>
      <c r="B5" s="235" t="n"/>
      <c r="C5" s="236" t="inlineStr">
        <is>
          <t>AP-104-MMUS</t>
        </is>
      </c>
      <c r="D5" s="237" t="n"/>
      <c r="E5" s="237" t="n"/>
      <c r="F5" s="237" t="n"/>
      <c r="G5" s="237" t="n"/>
      <c r="H5" s="235" t="n"/>
      <c r="I5" s="92" t="inlineStr">
        <is>
          <t>IFSC Code</t>
        </is>
      </c>
      <c r="J5" s="235" t="n"/>
      <c r="K5" s="236" t="inlineStr">
        <is>
          <t>N/A</t>
        </is>
      </c>
      <c r="L5" s="237" t="n"/>
      <c r="M5" s="237" t="n"/>
      <c r="N5" s="237" t="n"/>
      <c r="O5" s="237" t="n"/>
      <c r="P5" s="235" t="n"/>
    </row>
    <row r="6" s="34">
      <c r="A6" s="234" t="inlineStr">
        <is>
          <t>Base Location</t>
        </is>
      </c>
      <c r="B6" s="235" t="n"/>
      <c r="C6" s="236" t="inlineStr">
        <is>
          <t>TIRUPATI - TRPT</t>
        </is>
      </c>
      <c r="D6" s="237" t="n"/>
      <c r="E6" s="237" t="n"/>
      <c r="F6" s="237" t="n"/>
      <c r="G6" s="237" t="n"/>
      <c r="H6" s="235" t="n"/>
      <c r="I6" s="90" t="n"/>
      <c r="J6" s="235" t="n"/>
      <c r="K6" s="236" t="inlineStr"/>
      <c r="L6" s="237" t="n"/>
      <c r="M6" s="237" t="n"/>
      <c r="N6" s="237" t="n"/>
      <c r="O6" s="237" t="n"/>
      <c r="P6" s="235" t="n"/>
    </row>
    <row r="7" ht="15.75" customHeight="1" s="34" thickBot="1">
      <c r="A7" s="93" t="n"/>
      <c r="B7" s="238" t="n"/>
      <c r="C7" s="238" t="n"/>
      <c r="D7" s="238" t="n"/>
      <c r="E7" s="238" t="n"/>
      <c r="F7" s="238" t="n"/>
      <c r="G7" s="238" t="n"/>
      <c r="H7" s="238" t="n"/>
      <c r="I7" s="238" t="n"/>
      <c r="J7" s="238" t="n"/>
      <c r="K7" s="238" t="n"/>
      <c r="L7" s="238" t="n"/>
      <c r="M7" s="238" t="n"/>
      <c r="N7" s="238" t="n"/>
      <c r="O7" s="238" t="n"/>
      <c r="P7" s="239" t="n"/>
    </row>
    <row r="8" ht="15" customHeight="1" s="34" thickBot="1">
      <c r="A8" s="240" t="inlineStr">
        <is>
          <t>Sl. No.</t>
        </is>
      </c>
      <c r="B8" s="241" t="inlineStr">
        <is>
          <t>Travel Particulars</t>
        </is>
      </c>
      <c r="C8" s="242" t="n"/>
      <c r="D8" s="242" t="n"/>
      <c r="E8" s="242" t="n"/>
      <c r="F8" s="242" t="n"/>
      <c r="G8" s="242" t="n"/>
      <c r="H8" s="242" t="n"/>
      <c r="I8" s="242" t="n"/>
      <c r="J8" s="242" t="n"/>
      <c r="K8" s="243" t="n"/>
      <c r="L8" s="244" t="inlineStr">
        <is>
          <t>Stay &amp; Food Expenses</t>
        </is>
      </c>
      <c r="M8" s="242" t="n"/>
      <c r="N8" s="242" t="n"/>
      <c r="O8" s="242" t="n"/>
      <c r="P8" s="243" t="n"/>
    </row>
    <row r="9" s="34">
      <c r="A9" s="195" t="n"/>
      <c r="B9" s="102" t="inlineStr">
        <is>
          <t>Departure</t>
        </is>
      </c>
      <c r="C9" s="245" t="n"/>
      <c r="D9" s="246" t="n"/>
      <c r="E9" s="103" t="inlineStr">
        <is>
          <t>Arrival</t>
        </is>
      </c>
      <c r="F9" s="245" t="n"/>
      <c r="G9" s="246" t="n"/>
      <c r="H9" s="104" t="inlineStr">
        <is>
          <t>Mode of Travel</t>
        </is>
      </c>
      <c r="I9" s="103" t="inlineStr">
        <is>
          <t xml:space="preserve"> own vehicle</t>
        </is>
      </c>
      <c r="J9" s="246" t="n"/>
      <c r="K9" s="105" t="inlineStr">
        <is>
          <t>Amount</t>
        </is>
      </c>
      <c r="L9" s="106" t="inlineStr">
        <is>
          <t xml:space="preserve"> Lodging</t>
        </is>
      </c>
      <c r="M9" s="107" t="inlineStr">
        <is>
          <t>Daily Allowance</t>
        </is>
      </c>
      <c r="N9" s="107" t="inlineStr">
        <is>
          <t>Incidental Expenses</t>
        </is>
      </c>
      <c r="O9" s="3" t="inlineStr">
        <is>
          <t>In case of own stay</t>
        </is>
      </c>
      <c r="P9" s="231" t="n"/>
    </row>
    <row r="10" ht="15.75" customHeight="1" s="34" thickBot="1">
      <c r="A10" s="247" t="n"/>
      <c r="B10" s="108" t="inlineStr">
        <is>
          <t>Date</t>
        </is>
      </c>
      <c r="C10" s="109" t="inlineStr">
        <is>
          <t>Time</t>
        </is>
      </c>
      <c r="D10" s="109" t="inlineStr">
        <is>
          <t>Place</t>
        </is>
      </c>
      <c r="E10" s="109" t="inlineStr">
        <is>
          <t>Date</t>
        </is>
      </c>
      <c r="F10" s="109" t="inlineStr">
        <is>
          <t>Time</t>
        </is>
      </c>
      <c r="G10" s="109" t="inlineStr">
        <is>
          <t>Place</t>
        </is>
      </c>
      <c r="H10" s="248" t="n"/>
      <c r="I10" s="109" t="inlineStr">
        <is>
          <t>km</t>
        </is>
      </c>
      <c r="J10" s="111" t="inlineStr">
        <is>
          <t>@</t>
        </is>
      </c>
      <c r="K10" s="249" t="n"/>
      <c r="L10" s="250" t="n"/>
      <c r="M10" s="248" t="n"/>
      <c r="N10" s="248" t="n"/>
      <c r="O10" s="4" t="inlineStr">
        <is>
          <t>Eligibility</t>
        </is>
      </c>
      <c r="P10" s="5" t="n">
        <v>0.5</v>
      </c>
    </row>
    <row r="11" s="34">
      <c r="A11" s="20" t="n"/>
      <c r="B11" s="251" t="inlineStr">
        <is>
          <t>2026-06-15</t>
        </is>
      </c>
      <c r="C11" s="252" t="inlineStr"/>
      <c r="D11" s="253" t="inlineStr"/>
      <c r="E11" s="254" t="inlineStr">
        <is>
          <t>2026-06-15</t>
        </is>
      </c>
      <c r="F11" s="255" t="inlineStr"/>
      <c r="G11" s="253" t="inlineStr"/>
      <c r="H11" s="256" t="inlineStr"/>
      <c r="I11" s="27" t="n"/>
      <c r="J11" s="257" t="n"/>
      <c r="K11" s="258">
        <f>J11*I11</f>
        <v/>
      </c>
      <c r="L11" s="259" t="n">
        <v>650</v>
      </c>
      <c r="M11" s="260" t="n"/>
      <c r="N11" s="260" t="n"/>
      <c r="O11" s="81" t="n"/>
      <c r="P11" s="33">
        <f>ROUND(O11*P10,0)</f>
        <v/>
      </c>
    </row>
    <row r="12" s="34">
      <c r="A12" s="35" t="n"/>
      <c r="B12" s="261" t="inlineStr">
        <is>
          <t>2026-06-16</t>
        </is>
      </c>
      <c r="C12" s="262" t="inlineStr"/>
      <c r="D12" s="263" t="inlineStr">
        <is>
          <t>ANANTHAPURAM - ANTPR</t>
        </is>
      </c>
      <c r="E12" s="264" t="inlineStr">
        <is>
          <t>2026-06-16</t>
        </is>
      </c>
      <c r="F12" s="265" t="inlineStr"/>
      <c r="G12" s="263" t="inlineStr">
        <is>
          <t>MARKAPURAM - MRKPR</t>
        </is>
      </c>
      <c r="H12" s="256" t="inlineStr">
        <is>
          <t>Bike</t>
        </is>
      </c>
      <c r="I12" s="41" t="n"/>
      <c r="J12" s="266" t="n"/>
      <c r="K12" s="267">
        <f>J12*I12</f>
        <v/>
      </c>
      <c r="L12" s="268" t="n"/>
      <c r="M12" s="269" t="n">
        <v>600</v>
      </c>
      <c r="N12" s="270" t="n"/>
      <c r="O12" s="89" t="n"/>
      <c r="P12" s="33">
        <f>ROUND(O12*P11,0)</f>
        <v/>
      </c>
    </row>
    <row r="13" s="34">
      <c r="A13" s="35" t="n"/>
      <c r="B13" s="46" t="n"/>
      <c r="C13" s="41" t="n"/>
      <c r="D13" s="41" t="n"/>
      <c r="E13" s="41" t="n"/>
      <c r="F13" s="41" t="n"/>
      <c r="G13" s="41" t="n"/>
      <c r="H13" s="266" t="n"/>
      <c r="I13" s="41" t="n"/>
      <c r="J13" s="266" t="n"/>
      <c r="K13" s="267">
        <f>J13*I13</f>
        <v/>
      </c>
      <c r="L13" s="268" t="n"/>
      <c r="M13" s="270" t="n"/>
      <c r="N13" s="270" t="n"/>
      <c r="O13" s="89" t="n"/>
      <c r="P13" s="33">
        <f>ROUND(O13*P12,0)</f>
        <v/>
      </c>
    </row>
    <row r="14" s="34">
      <c r="A14" s="35" t="n"/>
      <c r="B14" s="47" t="n"/>
      <c r="C14" s="271" t="n"/>
      <c r="D14" s="272" t="n"/>
      <c r="E14" s="39" t="n"/>
      <c r="F14" s="273" t="n"/>
      <c r="G14" s="272" t="n"/>
      <c r="H14" s="266" t="n"/>
      <c r="I14" s="41" t="n"/>
      <c r="J14" s="266" t="n"/>
      <c r="K14" s="267">
        <f>J14*I14</f>
        <v/>
      </c>
      <c r="L14" s="268" t="n"/>
      <c r="M14" s="270" t="n"/>
      <c r="N14" s="270" t="n"/>
      <c r="O14" s="89" t="n"/>
      <c r="P14" s="33">
        <f>ROUND(O14*P13,0)</f>
        <v/>
      </c>
    </row>
    <row r="15" s="34">
      <c r="A15" s="35" t="n"/>
      <c r="B15" s="46" t="n"/>
      <c r="C15" s="49" t="n"/>
      <c r="D15" s="274" t="n"/>
      <c r="E15" s="51" t="n"/>
      <c r="F15" s="40" t="n"/>
      <c r="G15" s="274" t="n"/>
      <c r="H15" s="266" t="n"/>
      <c r="I15" s="41" t="n"/>
      <c r="J15" s="266" t="n"/>
      <c r="K15" s="267">
        <f>J15*I15</f>
        <v/>
      </c>
      <c r="L15" s="268" t="n"/>
      <c r="M15" s="270" t="n"/>
      <c r="N15" s="270" t="n"/>
      <c r="O15" s="89" t="n"/>
      <c r="P15" s="33">
        <f>ROUND(O15*P14,0)</f>
        <v/>
      </c>
    </row>
    <row r="16" s="34">
      <c r="A16" s="35" t="n"/>
      <c r="B16" s="53" t="n"/>
      <c r="C16" s="49" t="n"/>
      <c r="D16" s="274" t="n"/>
      <c r="E16" s="51" t="n"/>
      <c r="F16" s="40" t="n"/>
      <c r="G16" s="274" t="n"/>
      <c r="H16" s="89" t="n"/>
      <c r="I16" s="41" t="n"/>
      <c r="J16" s="266" t="n"/>
      <c r="K16" s="267">
        <f>J16*I16</f>
        <v/>
      </c>
      <c r="L16" s="268" t="n"/>
      <c r="M16" s="270" t="n"/>
      <c r="N16" s="270" t="n"/>
      <c r="O16" s="89" t="n"/>
      <c r="P16" s="33">
        <f>ROUND(O16*P15,0)</f>
        <v/>
      </c>
    </row>
    <row r="17" s="34">
      <c r="A17" s="35" t="n"/>
      <c r="B17" s="53" t="n"/>
      <c r="C17" s="49" t="n"/>
      <c r="D17" s="272" t="n"/>
      <c r="E17" s="39" t="n"/>
      <c r="F17" s="40" t="n"/>
      <c r="G17" s="272" t="n"/>
      <c r="H17" s="266" t="n"/>
      <c r="I17" s="41" t="n"/>
      <c r="J17" s="274" t="n"/>
      <c r="K17" s="267">
        <f>J17*I17</f>
        <v/>
      </c>
      <c r="L17" s="268" t="n"/>
      <c r="M17" s="270" t="n"/>
      <c r="N17" s="270" t="n"/>
      <c r="O17" s="89" t="n"/>
      <c r="P17" s="33">
        <f>ROUND(O17*P16,0)</f>
        <v/>
      </c>
    </row>
    <row r="18" s="34">
      <c r="A18" s="35" t="n"/>
      <c r="B18" s="53" t="n"/>
      <c r="C18" s="49" t="n"/>
      <c r="D18" s="272" t="n"/>
      <c r="E18" s="39" t="n"/>
      <c r="F18" s="40" t="n"/>
      <c r="G18" s="272" t="n"/>
      <c r="H18" s="266" t="n"/>
      <c r="I18" s="41" t="n"/>
      <c r="J18" s="274" t="n"/>
      <c r="K18" s="267">
        <f>J18*I18</f>
        <v/>
      </c>
      <c r="L18" s="268" t="n"/>
      <c r="M18" s="270" t="n"/>
      <c r="N18" s="270" t="n"/>
      <c r="O18" s="89" t="n"/>
      <c r="P18" s="33">
        <f>ROUND(O18*P17,0)</f>
        <v/>
      </c>
    </row>
    <row r="19" s="34">
      <c r="A19" s="35" t="n"/>
      <c r="B19" s="53" t="n"/>
      <c r="C19" s="49" t="n"/>
      <c r="D19" s="272" t="n"/>
      <c r="E19" s="39" t="n"/>
      <c r="F19" s="273" t="n"/>
      <c r="G19" s="272" t="n"/>
      <c r="H19" s="266" t="n"/>
      <c r="I19" s="41" t="n"/>
      <c r="J19" s="274" t="n"/>
      <c r="K19" s="267">
        <f>J19*I19</f>
        <v/>
      </c>
      <c r="L19" s="268" t="n"/>
      <c r="M19" s="270" t="n"/>
      <c r="N19" s="270" t="n"/>
      <c r="O19" s="89" t="n"/>
      <c r="P19" s="33">
        <f>ROUND(O19*P18,0)</f>
        <v/>
      </c>
    </row>
    <row r="20" s="34">
      <c r="A20" s="35" t="n"/>
      <c r="B20" s="53" t="n"/>
      <c r="C20" s="49" t="n"/>
      <c r="D20" s="274" t="n"/>
      <c r="E20" s="51" t="n"/>
      <c r="F20" s="40" t="n"/>
      <c r="G20" s="274" t="n"/>
      <c r="H20" s="266" t="n"/>
      <c r="I20" s="41" t="n"/>
      <c r="J20" s="274" t="n"/>
      <c r="K20" s="267">
        <f>J20*I20</f>
        <v/>
      </c>
      <c r="L20" s="268" t="n"/>
      <c r="M20" s="270" t="n"/>
      <c r="N20" s="270" t="n"/>
      <c r="O20" s="89" t="n"/>
      <c r="P20" s="33">
        <f>ROUND(O20*P19,0)</f>
        <v/>
      </c>
    </row>
    <row r="21" s="34">
      <c r="A21" s="35" t="n"/>
      <c r="B21" s="53" t="n"/>
      <c r="C21" s="49" t="n"/>
      <c r="D21" s="274" t="n"/>
      <c r="E21" s="51" t="n"/>
      <c r="F21" s="274" t="n"/>
      <c r="G21" s="274" t="n"/>
      <c r="H21" s="266" t="n"/>
      <c r="I21" s="41" t="n"/>
      <c r="J21" s="274" t="n"/>
      <c r="K21" s="267">
        <f>J21*I21</f>
        <v/>
      </c>
      <c r="L21" s="268" t="n"/>
      <c r="M21" s="270" t="n"/>
      <c r="N21" s="270" t="n"/>
      <c r="O21" s="89" t="n"/>
      <c r="P21" s="33">
        <f>ROUND(O21*P20,0)</f>
        <v/>
      </c>
    </row>
    <row r="22" ht="15.75" customHeight="1" s="34" thickBot="1">
      <c r="A22" s="35" t="n"/>
      <c r="B22" s="54" t="n"/>
      <c r="C22" s="275" t="n"/>
      <c r="D22" s="276" t="n"/>
      <c r="E22" s="57" t="n"/>
      <c r="F22" s="276" t="n"/>
      <c r="G22" s="276" t="n"/>
      <c r="H22" s="277" t="n"/>
      <c r="I22" s="59" t="n"/>
      <c r="J22" s="278" t="n"/>
      <c r="K22" s="279">
        <f>J22*I22</f>
        <v/>
      </c>
      <c r="L22" s="280" t="n"/>
      <c r="M22" s="281" t="n"/>
      <c r="N22" s="282" t="n"/>
      <c r="O22" s="65" t="n"/>
      <c r="P22" s="33">
        <f>ROUND(O22*P21,0)</f>
        <v/>
      </c>
    </row>
    <row r="23" ht="15.75" customHeight="1" s="34" thickBot="1">
      <c r="A23" s="66" t="n"/>
      <c r="B23" s="283" t="inlineStr">
        <is>
          <t>If vehicle provided by Company do not enter amount</t>
        </is>
      </c>
      <c r="C23" s="284" t="n"/>
      <c r="D23" s="284" t="n"/>
      <c r="E23" s="284" t="n"/>
      <c r="F23" s="284" t="n"/>
      <c r="G23" s="285" t="n"/>
      <c r="H23" s="286" t="inlineStr">
        <is>
          <t xml:space="preserve">Total </t>
        </is>
      </c>
      <c r="I23" s="284" t="n"/>
      <c r="J23" s="287" t="n"/>
      <c r="K23" s="288">
        <f>SUM(K11:K22)</f>
        <v/>
      </c>
      <c r="L23" s="289">
        <f>SUM(L11:L22)</f>
        <v/>
      </c>
      <c r="M23" s="290">
        <f>SUM(M11:M22)</f>
        <v/>
      </c>
      <c r="N23" s="291">
        <f>SUM(N11:N22)</f>
        <v/>
      </c>
      <c r="O23" s="81" t="n"/>
      <c r="P23" s="292">
        <f>SUM(P11:P22)</f>
        <v/>
      </c>
      <c r="Q23" s="2" t="n"/>
    </row>
    <row r="24" ht="15.75" customHeight="1" s="34" thickBot="1">
      <c r="A24" s="293" t="inlineStr">
        <is>
          <t>Sl. No.</t>
        </is>
      </c>
      <c r="B24" s="294" t="inlineStr">
        <is>
          <t>Local Conveyance (when on outstation visits)</t>
        </is>
      </c>
      <c r="C24" s="242" t="n"/>
      <c r="D24" s="242" t="n"/>
      <c r="E24" s="242" t="n"/>
      <c r="F24" s="242" t="n"/>
      <c r="G24" s="242" t="n"/>
      <c r="H24" s="243" t="n"/>
      <c r="I24" s="295" t="inlineStr">
        <is>
          <t>Other Expenses</t>
        </is>
      </c>
      <c r="J24" s="242" t="n"/>
      <c r="K24" s="243" t="n"/>
      <c r="L24" s="296" t="n"/>
      <c r="M24" s="297" t="n"/>
      <c r="N24" s="298" t="n"/>
      <c r="O24" s="298" t="n"/>
      <c r="P24" s="299" t="inlineStr">
        <is>
          <t>Total</t>
        </is>
      </c>
    </row>
    <row r="25" ht="15.75" customHeight="1" s="34" thickBot="1">
      <c r="A25" s="20" t="n"/>
      <c r="B25" s="300" t="inlineStr">
        <is>
          <t>Date</t>
        </is>
      </c>
      <c r="C25" s="132" t="inlineStr">
        <is>
          <t>From</t>
        </is>
      </c>
      <c r="D25" s="301" t="n"/>
      <c r="E25" s="302" t="inlineStr">
        <is>
          <t>To</t>
        </is>
      </c>
      <c r="F25" s="301" t="n"/>
      <c r="G25" s="302" t="inlineStr">
        <is>
          <t>Mode</t>
        </is>
      </c>
      <c r="H25" s="130" t="inlineStr">
        <is>
          <t>Amount</t>
        </is>
      </c>
      <c r="I25" s="131" t="inlineStr">
        <is>
          <t>Particulars</t>
        </is>
      </c>
      <c r="J25" s="301" t="n"/>
      <c r="K25" s="133" t="inlineStr">
        <is>
          <t>Amount</t>
        </is>
      </c>
      <c r="L25" s="303" t="inlineStr">
        <is>
          <t>Travel fare</t>
        </is>
      </c>
      <c r="M25" s="304" t="n"/>
      <c r="N25" s="305" t="n"/>
      <c r="O25" s="89" t="n"/>
      <c r="P25" s="306">
        <f>K23</f>
        <v/>
      </c>
    </row>
    <row r="26" s="34">
      <c r="A26" s="35" t="n"/>
      <c r="B26" s="36" t="n"/>
      <c r="C26" s="144" t="n"/>
      <c r="D26" s="246" t="n"/>
      <c r="E26" s="307" t="n"/>
      <c r="F26" s="246" t="n"/>
      <c r="G26" s="307" t="n"/>
      <c r="H26" s="308" t="n"/>
      <c r="I26" s="309" t="inlineStr">
        <is>
          <t>{"auditTrail":[],"checkInTime":"","checkOutTime":"","selfies":[],"localIncidentals":[],"provider":"Makemytrip","bookingTime":"16:45","origin":"TADEPALLI - TDPL","destination":"VIJAYAWADA - VJA","carrier":"werty","ticketStatus":"Confirmed","seatNumber":"213","quotaType":"GENERAL","depDate":"2026-06-15","arrDate":"2026-06-15","ticketNo":"123456789","ticketAmount":"2500","travelInvoiceNumbers":[""],"invoiceNo":"","remarks":"","time":{"boardingDate":"2026-06-15","boardingTime":"16:50","checkInTime":"","scheduledTime":"20:45","delay":0,"actualTime":"20:45","scheduledDepDate":"2026-06-15","scheduledDepTime":"16:50","scheduledArrDate":"2026-06-15"}}</t>
        </is>
      </c>
      <c r="J26" s="246" t="n"/>
      <c r="K26" s="310" t="n">
        <v>2500</v>
      </c>
      <c r="L26" s="311" t="inlineStr">
        <is>
          <t>Lodging</t>
        </is>
      </c>
      <c r="M26" s="312" t="n"/>
      <c r="N26" s="313" t="n"/>
      <c r="O26" s="89" t="n"/>
      <c r="P26" s="314">
        <f>L23</f>
        <v/>
      </c>
    </row>
    <row r="27" s="34">
      <c r="A27" s="35" t="n"/>
      <c r="B27" s="36" t="n"/>
      <c r="C27" s="156" t="n"/>
      <c r="D27" s="312" t="n"/>
      <c r="E27" s="272" t="n"/>
      <c r="F27" s="312" t="n"/>
      <c r="G27" s="274" t="n"/>
      <c r="H27" s="315" t="n"/>
      <c r="I27" s="155" t="n"/>
      <c r="J27" s="312" t="n"/>
      <c r="K27" s="316" t="n"/>
      <c r="L27" s="311" t="inlineStr">
        <is>
          <t>Daily Allowance</t>
        </is>
      </c>
      <c r="M27" s="312" t="n"/>
      <c r="N27" s="313" t="n"/>
      <c r="O27" s="89" t="n"/>
      <c r="P27" s="314">
        <f>M23</f>
        <v/>
      </c>
    </row>
    <row r="28" s="34">
      <c r="A28" s="35" t="n"/>
      <c r="B28" s="36" t="n"/>
      <c r="C28" s="156" t="n"/>
      <c r="D28" s="312" t="n"/>
      <c r="E28" s="272" t="n"/>
      <c r="F28" s="312" t="n"/>
      <c r="G28" s="274" t="n"/>
      <c r="H28" s="315" t="n"/>
      <c r="I28" s="155" t="n"/>
      <c r="J28" s="312" t="n"/>
      <c r="K28" s="316" t="n"/>
      <c r="L28" s="311" t="inlineStr">
        <is>
          <t>Incidental Expenses</t>
        </is>
      </c>
      <c r="M28" s="312" t="n"/>
      <c r="N28" s="313" t="n"/>
      <c r="O28" s="89" t="n"/>
      <c r="P28" s="314">
        <f>N23</f>
        <v/>
      </c>
    </row>
    <row r="29" s="34">
      <c r="A29" s="35" t="n"/>
      <c r="B29" s="36" t="n"/>
      <c r="C29" s="156" t="n"/>
      <c r="D29" s="312" t="n"/>
      <c r="E29" s="272" t="n"/>
      <c r="F29" s="312" t="n"/>
      <c r="G29" s="274" t="n"/>
      <c r="H29" s="315" t="n"/>
      <c r="I29" s="155" t="n"/>
      <c r="J29" s="312" t="n"/>
      <c r="K29" s="316" t="n"/>
      <c r="L29" s="311" t="inlineStr">
        <is>
          <t>Local Conveyance</t>
        </is>
      </c>
      <c r="M29" s="312" t="n"/>
      <c r="N29" s="313" t="n"/>
      <c r="O29" s="89" t="n"/>
      <c r="P29" s="314">
        <f>H35</f>
        <v/>
      </c>
    </row>
    <row r="30" s="34">
      <c r="A30" s="35" t="n"/>
      <c r="B30" s="36" t="n"/>
      <c r="C30" s="156" t="n"/>
      <c r="D30" s="312" t="n"/>
      <c r="E30" s="272" t="n"/>
      <c r="F30" s="312" t="n"/>
      <c r="G30" s="274" t="n"/>
      <c r="H30" s="315" t="n"/>
      <c r="I30" s="155" t="n"/>
      <c r="J30" s="312" t="n"/>
      <c r="K30" s="316" t="n"/>
      <c r="L30" s="159" t="inlineStr">
        <is>
          <t>Other Exp.</t>
        </is>
      </c>
      <c r="M30" s="312" t="n"/>
      <c r="N30" s="317" t="n"/>
      <c r="O30" s="89" t="n"/>
      <c r="P30" s="314">
        <f>K35</f>
        <v/>
      </c>
    </row>
    <row r="31" ht="18" customFormat="1" customHeight="1" s="177" thickBot="1">
      <c r="A31" s="162" t="n"/>
      <c r="B31" s="163" t="n"/>
      <c r="C31" s="164" t="n"/>
      <c r="D31" s="165" t="n"/>
      <c r="E31" s="318" t="n"/>
      <c r="F31" s="319" t="n"/>
      <c r="G31" s="320" t="n"/>
      <c r="H31" s="321" t="n"/>
      <c r="I31" s="170" t="n"/>
      <c r="J31" s="165" t="n"/>
      <c r="K31" s="322" t="n"/>
      <c r="L31" s="323" t="inlineStr">
        <is>
          <t>Own Stay Allowance</t>
        </is>
      </c>
      <c r="M31" s="324" t="n"/>
      <c r="N31" s="325" t="n"/>
      <c r="O31" s="175" t="n"/>
      <c r="P31" s="326">
        <f>P23</f>
        <v/>
      </c>
    </row>
    <row r="32" ht="15.75" customHeight="1" s="34" thickBot="1">
      <c r="A32" s="35" t="n"/>
      <c r="B32" s="36" t="n"/>
      <c r="C32" s="156" t="n"/>
      <c r="D32" s="312" t="n"/>
      <c r="E32" s="272" t="n"/>
      <c r="F32" s="312" t="n"/>
      <c r="G32" s="274" t="n"/>
      <c r="H32" s="315" t="n"/>
      <c r="I32" s="155" t="n"/>
      <c r="J32" s="312" t="n"/>
      <c r="K32" s="316" t="n"/>
      <c r="L32" s="327" t="inlineStr">
        <is>
          <t>Grand Total</t>
        </is>
      </c>
      <c r="M32" s="242" t="n"/>
      <c r="N32" s="242" t="n"/>
      <c r="O32" s="301" t="n"/>
      <c r="P32" s="328" t="n">
        <v>3750</v>
      </c>
    </row>
    <row r="33" s="34">
      <c r="A33" s="35" t="n"/>
      <c r="B33" s="36" t="n"/>
      <c r="C33" s="156" t="n"/>
      <c r="D33" s="312" t="n"/>
      <c r="E33" s="272" t="n"/>
      <c r="F33" s="312" t="n"/>
      <c r="G33" s="274" t="n"/>
      <c r="H33" s="315" t="n"/>
      <c r="I33" s="155" t="n"/>
      <c r="J33" s="312" t="n"/>
      <c r="K33" s="316" t="n"/>
      <c r="L33" s="329" t="inlineStr">
        <is>
          <t>Advance Taken &amp; Wallet Used</t>
        </is>
      </c>
      <c r="M33" s="330" t="n"/>
      <c r="N33" s="330" t="n"/>
      <c r="O33" s="304" t="n"/>
      <c r="P33" s="331" t="n">
        <v>0</v>
      </c>
    </row>
    <row r="34" ht="15.75" customHeight="1" s="34" thickBot="1">
      <c r="A34" s="66" t="n"/>
      <c r="B34" s="185" t="n"/>
      <c r="C34" s="186" t="n"/>
      <c r="D34" s="332" t="n"/>
      <c r="E34" s="333" t="n"/>
      <c r="F34" s="332" t="n"/>
      <c r="G34" s="276" t="n"/>
      <c r="H34" s="334" t="n"/>
      <c r="I34" s="189" t="n"/>
      <c r="J34" s="332" t="n"/>
      <c r="K34" s="335" t="n"/>
      <c r="L34" s="336" t="inlineStr">
        <is>
          <t>To be refunded to Company</t>
        </is>
      </c>
      <c r="M34" s="337" t="n"/>
      <c r="N34" s="337" t="n"/>
      <c r="O34" s="312" t="n"/>
      <c r="P34" s="338" t="n">
        <v>0</v>
      </c>
    </row>
    <row r="35" ht="15.75" customHeight="1" s="34" thickBot="1">
      <c r="A35" s="195" t="n"/>
      <c r="B35" s="339" t="inlineStr">
        <is>
          <t>Total</t>
        </is>
      </c>
      <c r="C35" s="340" t="n"/>
      <c r="D35" s="340" t="n"/>
      <c r="E35" s="340" t="n"/>
      <c r="F35" s="340" t="n"/>
      <c r="G35" s="341" t="n"/>
      <c r="H35" s="342">
        <f>SUM(H26:H34)</f>
        <v/>
      </c>
      <c r="I35" s="343" t="n"/>
      <c r="J35" s="341" t="n"/>
      <c r="K35" s="344">
        <f>SUM(K26:K34)</f>
        <v/>
      </c>
      <c r="L35" s="345" t="inlineStr">
        <is>
          <t>To be reimbursed from the Company</t>
        </is>
      </c>
      <c r="M35" s="346" t="n"/>
      <c r="N35" s="346" t="n"/>
      <c r="O35" s="332" t="n"/>
      <c r="P35" s="347" t="n">
        <v>3750</v>
      </c>
    </row>
    <row r="36" s="34">
      <c r="A36" s="206" t="n"/>
      <c r="B36" s="348" t="inlineStr">
        <is>
          <t xml:space="preserve"> Please indicate Exceptions, Deviations  and Abnormal expenses, if any</t>
        </is>
      </c>
      <c r="C36" s="349" t="n"/>
      <c r="D36" s="349" t="n"/>
      <c r="E36" s="349" t="n"/>
      <c r="F36" s="349" t="n"/>
      <c r="G36" s="350" t="inlineStr">
        <is>
          <t>Eg.   All the expenses were self paid, entitled for AC III Tier, difference for AC II from own pocket</t>
        </is>
      </c>
      <c r="H36" s="349" t="n"/>
      <c r="I36" s="349" t="n"/>
      <c r="J36" s="349" t="n"/>
      <c r="K36" s="349" t="n"/>
      <c r="L36" s="349" t="n"/>
      <c r="M36" s="349" t="n"/>
      <c r="N36" s="349" t="n"/>
      <c r="O36" s="349" t="n"/>
      <c r="P36" s="351" t="n"/>
    </row>
    <row r="37" s="34">
      <c r="A37" s="206" t="n"/>
      <c r="B37" s="352" t="n"/>
      <c r="C37" s="245" t="n"/>
      <c r="D37" s="245" t="n"/>
      <c r="E37" s="245" t="n"/>
      <c r="F37" s="245" t="n"/>
      <c r="G37" s="352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353" t="n"/>
    </row>
    <row r="38" s="34">
      <c r="A38" s="206" t="n"/>
      <c r="B38" s="218" t="n"/>
      <c r="C38" s="340" t="n"/>
      <c r="D38" s="340" t="n"/>
      <c r="E38" s="218" t="n"/>
      <c r="F38" s="340" t="n"/>
      <c r="G38" s="340" t="n"/>
      <c r="H38" s="219" t="n"/>
      <c r="I38" s="340" t="n"/>
      <c r="J38" s="340" t="n"/>
      <c r="K38" s="340" t="n"/>
      <c r="L38" s="219" t="n"/>
      <c r="M38" s="340" t="n"/>
      <c r="N38" s="340" t="n"/>
      <c r="O38" s="221" t="n"/>
      <c r="P38" s="354" t="n"/>
    </row>
    <row r="39" s="34">
      <c r="A39" s="206" t="n"/>
      <c r="B39" s="340" t="n"/>
      <c r="C39" s="340" t="n"/>
      <c r="D39" s="340" t="n"/>
      <c r="E39" s="340" t="n"/>
      <c r="F39" s="340" t="n"/>
      <c r="G39" s="340" t="n"/>
      <c r="H39" s="340" t="n"/>
      <c r="I39" s="340" t="n"/>
      <c r="J39" s="340" t="n"/>
      <c r="K39" s="340" t="n"/>
      <c r="L39" s="340" t="n"/>
      <c r="M39" s="340" t="n"/>
      <c r="N39" s="340" t="n"/>
      <c r="P39" s="354" t="n"/>
    </row>
    <row r="40" s="34">
      <c r="A40" s="206" t="n"/>
      <c r="B40" s="340" t="n"/>
      <c r="C40" s="340" t="n"/>
      <c r="D40" s="340" t="n"/>
      <c r="E40" s="340" t="n"/>
      <c r="F40" s="340" t="n"/>
      <c r="G40" s="340" t="n"/>
      <c r="H40" s="340" t="n"/>
      <c r="I40" s="340" t="n"/>
      <c r="J40" s="340" t="n"/>
      <c r="K40" s="340" t="n"/>
      <c r="L40" s="340" t="n"/>
      <c r="M40" s="340" t="n"/>
      <c r="N40" s="340" t="n"/>
      <c r="P40" s="354" t="n"/>
    </row>
    <row r="41" ht="15.75" customHeight="1" s="34" thickBot="1">
      <c r="A41" s="222" t="n"/>
      <c r="B41" s="224" t="inlineStr">
        <is>
          <t>Signature  - Employee</t>
        </is>
      </c>
      <c r="C41" s="355" t="n"/>
      <c r="D41" s="355" t="n"/>
      <c r="E41" s="225" t="n"/>
      <c r="F41" s="224" t="inlineStr">
        <is>
          <t>Reporting Authority</t>
        </is>
      </c>
      <c r="G41" s="355" t="n"/>
      <c r="H41" s="355" t="n"/>
      <c r="I41" s="225" t="n"/>
      <c r="J41" s="224" t="inlineStr">
        <is>
          <t xml:space="preserve"> HR</t>
        </is>
      </c>
      <c r="K41" s="355" t="n"/>
      <c r="L41" s="355" t="n"/>
      <c r="M41" s="224" t="inlineStr">
        <is>
          <t>Accounts</t>
        </is>
      </c>
      <c r="N41" s="355" t="n"/>
      <c r="O41" s="355" t="n"/>
      <c r="P41" s="223" t="n"/>
    </row>
  </sheetData>
  <mergeCells count="88">
    <mergeCell ref="H9:H10"/>
    <mergeCell ref="L34:O34"/>
    <mergeCell ref="B24:H24"/>
    <mergeCell ref="L28:M28"/>
    <mergeCell ref="I26:J26"/>
    <mergeCell ref="I24:K24"/>
    <mergeCell ref="I25:J25"/>
    <mergeCell ref="M41:O41"/>
    <mergeCell ref="E34:F34"/>
    <mergeCell ref="L29:M29"/>
    <mergeCell ref="C27:D27"/>
    <mergeCell ref="K4:P4"/>
    <mergeCell ref="A2:K2"/>
    <mergeCell ref="E27:F27"/>
    <mergeCell ref="L31:M31"/>
    <mergeCell ref="B8:K8"/>
    <mergeCell ref="K9:K10"/>
    <mergeCell ref="M9:M10"/>
    <mergeCell ref="C28:D28"/>
    <mergeCell ref="I30:J30"/>
    <mergeCell ref="G36:P37"/>
    <mergeCell ref="C30:D30"/>
    <mergeCell ref="I6:J6"/>
    <mergeCell ref="F41:H41"/>
    <mergeCell ref="B23:G23"/>
    <mergeCell ref="L38:N40"/>
    <mergeCell ref="J41:L41"/>
    <mergeCell ref="I32:J32"/>
    <mergeCell ref="B9:D9"/>
    <mergeCell ref="H38:K40"/>
    <mergeCell ref="L8:P8"/>
    <mergeCell ref="L30:M30"/>
    <mergeCell ref="A1:P1"/>
    <mergeCell ref="I33:J33"/>
    <mergeCell ref="B35:G35"/>
    <mergeCell ref="E26:F26"/>
    <mergeCell ref="C6:H6"/>
    <mergeCell ref="I35:J35"/>
    <mergeCell ref="E25:F25"/>
    <mergeCell ref="C4:H4"/>
    <mergeCell ref="I9:J9"/>
    <mergeCell ref="C34:D34"/>
    <mergeCell ref="A8:A10"/>
    <mergeCell ref="E9:G9"/>
    <mergeCell ref="O9:P9"/>
    <mergeCell ref="B38:D40"/>
    <mergeCell ref="C29:D29"/>
    <mergeCell ref="E29:F29"/>
    <mergeCell ref="L32:O32"/>
    <mergeCell ref="A3:B3"/>
    <mergeCell ref="L26:M26"/>
    <mergeCell ref="L9:L10"/>
    <mergeCell ref="B41:D41"/>
    <mergeCell ref="N9:N10"/>
    <mergeCell ref="K6:P6"/>
    <mergeCell ref="A5:B5"/>
    <mergeCell ref="L25:M25"/>
    <mergeCell ref="K3:P3"/>
    <mergeCell ref="C3:H3"/>
    <mergeCell ref="L33:O33"/>
    <mergeCell ref="A4:B4"/>
    <mergeCell ref="C32:D32"/>
    <mergeCell ref="E32:F32"/>
    <mergeCell ref="K5:P5"/>
    <mergeCell ref="C5:H5"/>
    <mergeCell ref="L35:O35"/>
    <mergeCell ref="I34:J34"/>
    <mergeCell ref="E38:G40"/>
    <mergeCell ref="L2:P2"/>
    <mergeCell ref="A24:A25"/>
    <mergeCell ref="O38:P40"/>
    <mergeCell ref="C33:D33"/>
    <mergeCell ref="E33:F33"/>
    <mergeCell ref="I27:J27"/>
    <mergeCell ref="C26:D26"/>
    <mergeCell ref="A6:B6"/>
    <mergeCell ref="B36:F37"/>
    <mergeCell ref="C25:D25"/>
    <mergeCell ref="E28:F28"/>
    <mergeCell ref="I28:J28"/>
    <mergeCell ref="I3:J3"/>
    <mergeCell ref="E30:F30"/>
    <mergeCell ref="H23:J23"/>
    <mergeCell ref="I5:J5"/>
    <mergeCell ref="A7:P7"/>
    <mergeCell ref="I29:J29"/>
    <mergeCell ref="I4:J4"/>
    <mergeCell ref="L27:M27"/>
  </mergeCells>
  <printOptions horizontalCentered="1"/>
  <pageMargins left="0.1968503937007874" right="0.1968503937007874" top="0.3937007874015748" bottom="0.1968503937007874" header="0.3149606299212598" footer="0.3149606299212598"/>
  <pageSetup orientation="landscape" scale="8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Susheela Pisapati</dc:creator>
  <dcterms:created xmlns:dcterms="http://purl.org/dc/terms/" xmlns:xsi="http://www.w3.org/2001/XMLSchema-instance" xsi:type="dcterms:W3CDTF">2026-02-24T04:05:38Z</dcterms:created>
  <dcterms:modified xmlns:dcterms="http://purl.org/dc/terms/" xmlns:xsi="http://www.w3.org/2001/XMLSchema-instance" xsi:type="dcterms:W3CDTF">2026-06-17T04:17:51Z</dcterms:modified>
  <cp:lastModifiedBy>SRI RAM</cp:lastModifiedBy>
  <cp:lastPrinted>2026-02-27T10:18:15Z</cp:lastPrinted>
</cp:coreProperties>
</file>